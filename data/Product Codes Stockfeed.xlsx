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etgparrogatenew-my.sharepoint.com/personal/valentine_mazuru_etgparrogate_com/Documents/"/>
    </mc:Choice>
  </mc:AlternateContent>
  <xr:revisionPtr revIDLastSave="1" documentId="8_{90BC1405-5097-4B40-A2C0-B58B73B4EA5A}" xr6:coauthVersionLast="47" xr6:coauthVersionMax="47" xr10:uidLastSave="{8E71E2B0-6143-4D93-B229-B5A04E29C585}"/>
  <bookViews>
    <workbookView xWindow="-108" yWindow="-108" windowWidth="23256" windowHeight="12456" xr2:uid="{00000000-000D-0000-FFFF-FFFF00000000}"/>
  </bookViews>
  <sheets>
    <sheet name="Product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  <c r="F64" i="1"/>
  <c r="G63" i="1"/>
  <c r="F63" i="1"/>
  <c r="F13" i="1"/>
  <c r="E96" i="1"/>
  <c r="E92" i="1"/>
  <c r="G91" i="1"/>
  <c r="F91" i="1"/>
  <c r="G90" i="1"/>
  <c r="F90" i="1"/>
  <c r="G89" i="1"/>
  <c r="F89" i="1"/>
  <c r="G88" i="1"/>
  <c r="F88" i="1"/>
  <c r="G87" i="1"/>
  <c r="F87" i="1"/>
  <c r="G85" i="1"/>
  <c r="F85" i="1"/>
  <c r="G84" i="1"/>
  <c r="F84" i="1"/>
  <c r="G83" i="1"/>
  <c r="F83" i="1"/>
  <c r="G82" i="1"/>
  <c r="F82" i="1"/>
  <c r="G81" i="1"/>
  <c r="F81" i="1"/>
  <c r="G80" i="1"/>
  <c r="F80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1" i="1"/>
  <c r="F61" i="1"/>
  <c r="G60" i="1"/>
  <c r="F60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G12" i="1"/>
  <c r="F12" i="1"/>
  <c r="G11" i="1"/>
  <c r="F11" i="1"/>
  <c r="G10" i="1"/>
  <c r="F10" i="1"/>
  <c r="G9" i="1"/>
  <c r="F9" i="1"/>
  <c r="G8" i="1"/>
  <c r="F8" i="1"/>
  <c r="G92" i="1" l="1"/>
  <c r="F92" i="1"/>
</calcChain>
</file>

<file path=xl/sharedStrings.xml><?xml version="1.0" encoding="utf-8"?>
<sst xmlns="http://schemas.openxmlformats.org/spreadsheetml/2006/main" count="183" uniqueCount="160">
  <si>
    <t>NB: All orders should be placed at least 3 days (72hrs) before the expected delivery date.</t>
  </si>
  <si>
    <t>Warehouse :</t>
  </si>
  <si>
    <t>Date Placed :</t>
  </si>
  <si>
    <t>Expecetd Date :</t>
  </si>
  <si>
    <t>ITEM DESCRIPTION</t>
  </si>
  <si>
    <t>PRICE</t>
  </si>
  <si>
    <t>SKU</t>
  </si>
  <si>
    <t xml:space="preserve">QTY </t>
  </si>
  <si>
    <t>VOLUME</t>
  </si>
  <si>
    <t>VALUE</t>
  </si>
  <si>
    <t>Broiler Concentrate 41%  5KG</t>
  </si>
  <si>
    <t>Broiler Concentrate 41% 10KG</t>
  </si>
  <si>
    <t>Broiler Concentrate 41%  50KG</t>
  </si>
  <si>
    <t>Broiler Starter Crumbs 3 PHASE 23% CP 5KG</t>
  </si>
  <si>
    <t>Broiler Starter Crumbs  3 PHASE 23% CP 10KG</t>
  </si>
  <si>
    <t>Broiler Starter Crumbs 3 PHASE 23% CP 25KG</t>
  </si>
  <si>
    <t>Broiler Starter Crumbs 3 PHASE 23% CP 50KG</t>
  </si>
  <si>
    <t>Broiler Grower Pellets 3 PHASE 21% CP 5KG</t>
  </si>
  <si>
    <t>Broiler Grower Pellets3 PHASE 21% CP 10KG</t>
  </si>
  <si>
    <t>Broiler Grower Pellets 3 PHASE 21% CP 20KG</t>
  </si>
  <si>
    <t>Broiler Grower Pellets 3 PHASE 21% CP 25KG</t>
  </si>
  <si>
    <t>Broiler Grower Pellets 3 PHASE 21% CP 50KG</t>
  </si>
  <si>
    <t>Broiler Grower Crumbs 3 PHASE 21% CP 50KG</t>
  </si>
  <si>
    <t>Broiler Finisher  Pellets 3 PHASE 18% CP 5KG</t>
  </si>
  <si>
    <t>Broiler Finisher  Pellets 3 PHASE 18% CP 10KG</t>
  </si>
  <si>
    <t>Broiler Finisher Pellets 3 PHASE 18% CP 25KG</t>
  </si>
  <si>
    <t>Broiler Finisher Pellets 3 PHASE 18% CP 50KG</t>
  </si>
  <si>
    <t>Supra Broiler Star-Grow Crumbs 2 phase 25kg</t>
  </si>
  <si>
    <t>Supra Broiler Star-Grow Crumbs 2 phase 50kg</t>
  </si>
  <si>
    <t>Supra Broiler Grow-Fin Pellets 2 Phase 25kg</t>
  </si>
  <si>
    <t>Supra Broiler Grow-Fin Pellets 2 Phase 50kg</t>
  </si>
  <si>
    <t>Layers Mash 15% CP 5KG</t>
  </si>
  <si>
    <t>Layers Mash 15% CP 10KG</t>
  </si>
  <si>
    <t>Layers Mash 15% CP 20KG</t>
  </si>
  <si>
    <t>Layers Mash 15% CP 50KG (Phase 1)</t>
  </si>
  <si>
    <t>Layers Mash 14.5% CP 50KG (Phase 2)</t>
  </si>
  <si>
    <t>Layers Concentrate 29%CP 50KG</t>
  </si>
  <si>
    <t>Layer Chick Starter Mash 21 % CP 50KG</t>
  </si>
  <si>
    <t>Layer Grower Mash 16% CP 50KG</t>
  </si>
  <si>
    <t>Road Runner Chick Mash 5KG</t>
  </si>
  <si>
    <t>Road Runner Chick Mash 10KG</t>
  </si>
  <si>
    <t>Road Runner Chick Mash 50KG</t>
  </si>
  <si>
    <t>Road Runner Grower/Finisher Mash 5KG</t>
  </si>
  <si>
    <t>Road Runner Grower/Finisher Mash 10KG</t>
  </si>
  <si>
    <t>Road Runner Grower/Finisher Mash 50KG</t>
  </si>
  <si>
    <t>Road Runner Grower/Finisher Con 50KG</t>
  </si>
  <si>
    <t>Road Runner Breeder Mash 50kg</t>
  </si>
  <si>
    <t>Pig Creep Meal 50Kg</t>
  </si>
  <si>
    <t>Pig Weaner Meal 50Kg</t>
  </si>
  <si>
    <t>Pig Lactating Meal 50Kg</t>
  </si>
  <si>
    <t>Sow And Boar Pig Concentrate 50kg</t>
  </si>
  <si>
    <t>Sow And Boar Pig Feed 50kg</t>
  </si>
  <si>
    <t>Pig Grower Mash 50kg</t>
  </si>
  <si>
    <t>Calf starter  50KG</t>
  </si>
  <si>
    <t>Calf Grower  50KG</t>
  </si>
  <si>
    <t>Dairy meal 16% 50KG</t>
  </si>
  <si>
    <t>Dairy meal 18% 50KG</t>
  </si>
  <si>
    <t>Beef Survival /Maintenance 50KG</t>
  </si>
  <si>
    <t>Pen Feeding Meal 50KG</t>
  </si>
  <si>
    <t>Sheep and Goat fattener  50KG</t>
  </si>
  <si>
    <t>Sheep and Goat Maintenance Meal 50KG</t>
  </si>
  <si>
    <t xml:space="preserve">Sunrise </t>
  </si>
  <si>
    <t>Super Roller Meal 10kg</t>
  </si>
  <si>
    <t>Super Refined Meal 50kg</t>
  </si>
  <si>
    <t>SELF RAISING FLOUR 2kg x 10</t>
  </si>
  <si>
    <t>SELF RAISING FLOUR 5kg x 10</t>
  </si>
  <si>
    <t>CAKE FLOUR 2kg x 10</t>
  </si>
  <si>
    <t>BROWN FLOUR 2kg x 10</t>
  </si>
  <si>
    <t>BROWN FLOUR 50kg</t>
  </si>
  <si>
    <t>BAKERS STANDARD FLOUR 50kg</t>
  </si>
  <si>
    <t>BAKERS CAKE FLOUR 50kg</t>
  </si>
  <si>
    <t>BISCUIT FLOUR 50kg</t>
  </si>
  <si>
    <t>Z    I    M    G    O    L    D         P    R    O    D    U    C    T    S</t>
  </si>
  <si>
    <t>PureOil</t>
  </si>
  <si>
    <t>Zimgold Cooking Oil 12x2L</t>
  </si>
  <si>
    <t>Zimgold Cooking Oil 12x375ml</t>
  </si>
  <si>
    <t>Dendairy UHT Full Cream Milk 6x1L</t>
  </si>
  <si>
    <t>Zimpure Still Purified Water 24x500ml (Vat Inc.)</t>
  </si>
  <si>
    <t>Zimbrite Laundry Bar Soap 10x1kg (Vat Inc.)</t>
  </si>
  <si>
    <t>Soya Meal 47%CP 50kg</t>
  </si>
  <si>
    <t>O     F    F    A    L    S</t>
  </si>
  <si>
    <t>Sunrise</t>
  </si>
  <si>
    <t>Wheat Sreenings 25kg</t>
  </si>
  <si>
    <t>Wheat Bran 25kg</t>
  </si>
  <si>
    <t>Maize Screenings  30KG</t>
  </si>
  <si>
    <t>Maize Bran &amp; Chips 25kg</t>
  </si>
  <si>
    <t>Hominy chop/Cow Meal 25kg</t>
  </si>
  <si>
    <t>TOTAL VOLUME</t>
  </si>
  <si>
    <t>PREPARED BY :</t>
  </si>
  <si>
    <t>DATE :</t>
  </si>
  <si>
    <t>VERIFIED BY:</t>
  </si>
  <si>
    <t>NB: PLEASE BE ADVISED THAT ALL ORDERS SHOULD BE PREPARED IN 3MT, 8MT, 18MT &amp; 30MT TRUCK VOLUMES</t>
  </si>
  <si>
    <t>F-BCON5KG</t>
  </si>
  <si>
    <t>F-BCON25KG</t>
  </si>
  <si>
    <t>F-BCON10KG</t>
  </si>
  <si>
    <t>F-BCON50KG</t>
  </si>
  <si>
    <t>ITEM CODE</t>
  </si>
  <si>
    <t>F-BSC5KG3PH</t>
  </si>
  <si>
    <t>F-BSC10KG3PH</t>
  </si>
  <si>
    <t>F-BSC25KG3PH</t>
  </si>
  <si>
    <t>F-BSC50KG3PH</t>
  </si>
  <si>
    <t>F-BGP5KG3PH</t>
  </si>
  <si>
    <t>F-BGP10KG3PH</t>
  </si>
  <si>
    <t>F-BGP20KG3PH</t>
  </si>
  <si>
    <t>F-BGP50KG3PH</t>
  </si>
  <si>
    <t>F-BGC50KG3PH</t>
  </si>
  <si>
    <t>F-BFP5KG3PH</t>
  </si>
  <si>
    <t>F-BFP10KG3PH</t>
  </si>
  <si>
    <t>F-BFP25KG3PH</t>
  </si>
  <si>
    <t>F-BFP50KG3PH</t>
  </si>
  <si>
    <t>F-BSGC25KG2PH</t>
  </si>
  <si>
    <t>F-BSGC50KG2PH</t>
  </si>
  <si>
    <t>F-BGFP25KG2PH</t>
  </si>
  <si>
    <t>F-BGFP50KG2PH</t>
  </si>
  <si>
    <t>F-LFM5KG</t>
  </si>
  <si>
    <t>F-LFM10KG</t>
  </si>
  <si>
    <t>F-LFM20KG</t>
  </si>
  <si>
    <t>F-LFM50KG</t>
  </si>
  <si>
    <t>F-LFM50KGLL</t>
  </si>
  <si>
    <t>F-LC50KG</t>
  </si>
  <si>
    <t>F-LCSM50KG</t>
  </si>
  <si>
    <t>F-LGM50KG</t>
  </si>
  <si>
    <t>F-RRCM5KG</t>
  </si>
  <si>
    <t>F-RRCM10KG</t>
  </si>
  <si>
    <t>F-RRCM50KG</t>
  </si>
  <si>
    <t>F-RRGFM5KG</t>
  </si>
  <si>
    <t>F-RRGFM10KG</t>
  </si>
  <si>
    <t>F-RRGFM50KG</t>
  </si>
  <si>
    <t>F-RRBM50KG</t>
  </si>
  <si>
    <t>Pig Concentrate 5kg</t>
  </si>
  <si>
    <t>Pig Concentrate 10kg</t>
  </si>
  <si>
    <t>Pig Concentrate 20kg</t>
  </si>
  <si>
    <t>Pig Concentrate 50kg</t>
  </si>
  <si>
    <t>F-PC5KG</t>
  </si>
  <si>
    <t>F-PC10KG</t>
  </si>
  <si>
    <t>F-PC20KG</t>
  </si>
  <si>
    <t>F-PC50KG</t>
  </si>
  <si>
    <t>F-BSMM50KG10%</t>
  </si>
  <si>
    <t>F-PFM50KG12%</t>
  </si>
  <si>
    <t>F-PCM50KG</t>
  </si>
  <si>
    <t>F-PLM50KG</t>
  </si>
  <si>
    <t>F-SBPF50KG</t>
  </si>
  <si>
    <t>F-PGM50</t>
  </si>
  <si>
    <t>F-SBPC50KG</t>
  </si>
  <si>
    <t>F-PWM50KG</t>
  </si>
  <si>
    <t>F-SGMM50</t>
  </si>
  <si>
    <t>F-SGFM50</t>
  </si>
  <si>
    <t>F-DMS50-16%</t>
  </si>
  <si>
    <t>F-DMS50-18%</t>
  </si>
  <si>
    <t>Broiler Concentrate 41%  25KG</t>
  </si>
  <si>
    <t>STOCKISTS&amp; DISTRIBUTORS ORDER FORM (APRIL 2026 EDITION)</t>
  </si>
  <si>
    <t>Monday 20 july 2026</t>
  </si>
  <si>
    <t>Wednesday 22 july 2026</t>
  </si>
  <si>
    <t>VastAfrica</t>
  </si>
  <si>
    <t xml:space="preserve">P  O  U  L   T  R  Y     B    R    O    I    L    E    R   S      </t>
  </si>
  <si>
    <t>P  O  U  L  T  R  Y     L    A    Y    E    R    S</t>
  </si>
  <si>
    <t>P  O  U  L  T  R  Y    R  O  A  D     R    U    N    N    E    R    S</t>
  </si>
  <si>
    <t>C  A  T  T  L  E     D  A  I  R  Y</t>
  </si>
  <si>
    <t>C  A  T  T  L  E     B  E  E  F</t>
  </si>
  <si>
    <t xml:space="preserve">P    I    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</si>
</sst>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* #,##0.000_);_(* \(#,##0.000\);_(* &quot;-&quot;??_);_(@_)"/>
    <numFmt numFmtId="166" formatCode="&quot;$&quot;#,##0.00"/>
  </numFmts>
  <fonts count="35" x14ac:knownFonts="1">
    <font>
      <sz val="11"/>
      <name val="Calibri"/>
    </font>
    <font>
      <sz val="11"/>
      <color rgb="FF000000"/>
      <name val="Calibri"/>
      <family val="2"/>
    </font>
    <font>
      <sz val="16"/>
      <color rgb="FFFFFFFF"/>
      <name val="Segoe UI Semibold"/>
      <family val="2"/>
    </font>
    <font>
      <b/>
      <sz val="10"/>
      <color rgb="FFFFFFFF"/>
      <name val="Segoe UI Semibold"/>
      <family val="2"/>
    </font>
    <font>
      <b/>
      <sz val="14"/>
      <name val="Segoe UI Semibold"/>
      <family val="2"/>
    </font>
    <font>
      <sz val="9"/>
      <color rgb="FF000000"/>
      <name val="Segoe UI Semibold"/>
      <family val="2"/>
    </font>
    <font>
      <sz val="10"/>
      <color rgb="FF000000"/>
      <name val="Segoe UI Semibold"/>
      <family val="2"/>
    </font>
    <font>
      <sz val="11"/>
      <name val="Calibri"/>
      <family val="2"/>
    </font>
    <font>
      <sz val="9"/>
      <name val="Segoe UI Semibold"/>
      <family val="2"/>
    </font>
    <font>
      <sz val="10"/>
      <name val="Segoe UI Semibold"/>
      <family val="2"/>
    </font>
    <font>
      <sz val="9"/>
      <color rgb="FF000000"/>
      <name val="Segoe UI Semibold"/>
      <family val="2"/>
    </font>
    <font>
      <sz val="10"/>
      <color rgb="FF000000"/>
      <name val="Segoe UI Semibold"/>
      <family val="2"/>
    </font>
    <font>
      <b/>
      <sz val="14"/>
      <color rgb="FF000000"/>
      <name val="Segoe UI Semibold"/>
      <family val="2"/>
    </font>
    <font>
      <b/>
      <sz val="14"/>
      <color rgb="FFFFFFFF"/>
      <name val="Segoe UI Semibold"/>
      <family val="2"/>
    </font>
    <font>
      <sz val="14"/>
      <color rgb="FFFFFFFF"/>
      <name val="Segoe UI Semibold"/>
      <family val="2"/>
    </font>
    <font>
      <sz val="14"/>
      <name val="Segoe UI Semibold"/>
      <family val="2"/>
    </font>
    <font>
      <i/>
      <sz val="9"/>
      <color rgb="FF000000"/>
      <name val="Segoe UI Semibold"/>
      <family val="2"/>
    </font>
    <font>
      <i/>
      <sz val="9"/>
      <color rgb="FFEE0000"/>
      <name val="Segoe UI Semibold"/>
      <family val="2"/>
    </font>
    <font>
      <sz val="9"/>
      <color rgb="FFEE0000"/>
      <name val="Segoe UI Semibold"/>
      <family val="2"/>
    </font>
    <font>
      <sz val="11"/>
      <color rgb="FFFFFFFF"/>
      <name val="Segoe UI Semibold"/>
      <family val="2"/>
    </font>
    <font>
      <sz val="10"/>
      <color rgb="FFFFFFFF"/>
      <name val="Segoe UI Semibold"/>
      <family val="2"/>
    </font>
    <font>
      <sz val="9"/>
      <color rgb="FFFFFFFF"/>
      <name val="Segoe UI Semibold"/>
      <family val="2"/>
    </font>
    <font>
      <sz val="11"/>
      <color rgb="FFFF0000"/>
      <name val="Segoe UI Semibold"/>
      <family val="2"/>
    </font>
    <font>
      <sz val="10"/>
      <color rgb="FF000000"/>
      <name val="Segoe UI Semibold"/>
      <family val="2"/>
    </font>
    <font>
      <sz val="9"/>
      <color rgb="FF000000"/>
      <name val="Segoe UI Semibold"/>
      <family val="2"/>
    </font>
    <font>
      <b/>
      <sz val="9"/>
      <color rgb="FFFFFFFF"/>
      <name val="Segoe UI Semibold"/>
      <family val="2"/>
    </font>
    <font>
      <sz val="9"/>
      <name val="Segoe UI Semibold"/>
      <family val="2"/>
    </font>
    <font>
      <sz val="11"/>
      <color theme="1"/>
      <name val="Segoe UI Semibold"/>
      <family val="2"/>
    </font>
    <font>
      <b/>
      <u/>
      <sz val="11"/>
      <color theme="1"/>
      <name val="Segoe UI Semibold"/>
      <family val="2"/>
    </font>
    <font>
      <u/>
      <sz val="10"/>
      <color theme="1"/>
      <name val="Segoe UI Semibold"/>
      <family val="2"/>
    </font>
    <font>
      <u/>
      <sz val="11"/>
      <color theme="1"/>
      <name val="Segoe UI Semibold"/>
      <family val="2"/>
    </font>
    <font>
      <b/>
      <u/>
      <sz val="10"/>
      <color theme="1"/>
      <name val="Segoe UI Semibold"/>
      <family val="2"/>
    </font>
    <font>
      <b/>
      <sz val="12"/>
      <color theme="1"/>
      <name val="Segoe UI Semibold"/>
      <family val="2"/>
    </font>
    <font>
      <b/>
      <sz val="10"/>
      <color theme="1"/>
      <name val="Segoe UI Semibold"/>
      <family val="2"/>
    </font>
    <font>
      <sz val="11"/>
      <color theme="2"/>
      <name val="Segoe UI Semibold"/>
      <family val="2"/>
    </font>
  </fonts>
  <fills count="16">
    <fill>
      <patternFill patternType="none"/>
    </fill>
    <fill>
      <patternFill patternType="gray125"/>
    </fill>
    <fill>
      <patternFill patternType="solid">
        <fgColor rgb="FFB4C7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000000"/>
      </patternFill>
    </fill>
    <fill>
      <patternFill patternType="solid">
        <fgColor rgb="FFFBE4D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0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>
      <alignment vertical="top"/>
      <protection locked="0"/>
    </xf>
    <xf numFmtId="44" fontId="1" fillId="0" borderId="0">
      <alignment vertical="top"/>
      <protection locked="0"/>
    </xf>
  </cellStyleXfs>
  <cellXfs count="17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>
      <alignment vertical="center"/>
    </xf>
    <xf numFmtId="0" fontId="4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/>
    <xf numFmtId="0" fontId="5" fillId="0" borderId="16" xfId="0" applyFont="1" applyBorder="1" applyAlignment="1">
      <alignment horizontal="left"/>
    </xf>
    <xf numFmtId="2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65" fontId="6" fillId="0" borderId="18" xfId="1" applyNumberFormat="1" applyFont="1" applyBorder="1" applyAlignment="1" applyProtection="1"/>
    <xf numFmtId="166" fontId="6" fillId="0" borderId="19" xfId="2" applyNumberFormat="1" applyFont="1" applyBorder="1" applyAlignment="1" applyProtection="1">
      <alignment horizontal="center" vertical="center"/>
    </xf>
    <xf numFmtId="0" fontId="5" fillId="0" borderId="20" xfId="0" applyFont="1" applyBorder="1" applyAlignment="1"/>
    <xf numFmtId="0" fontId="5" fillId="0" borderId="21" xfId="0" applyFont="1" applyBorder="1" applyAlignment="1">
      <alignment horizontal="left"/>
    </xf>
    <xf numFmtId="2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165" fontId="6" fillId="0" borderId="23" xfId="1" applyNumberFormat="1" applyFont="1" applyBorder="1" applyAlignment="1" applyProtection="1"/>
    <xf numFmtId="166" fontId="6" fillId="0" borderId="24" xfId="2" applyNumberFormat="1" applyFont="1" applyBorder="1" applyAlignment="1" applyProtection="1">
      <alignment horizontal="center" vertical="center"/>
    </xf>
    <xf numFmtId="0" fontId="5" fillId="0" borderId="25" xfId="0" applyFont="1" applyBorder="1" applyAlignment="1"/>
    <xf numFmtId="0" fontId="5" fillId="0" borderId="26" xfId="0" applyFont="1" applyBorder="1" applyAlignment="1">
      <alignment horizontal="left"/>
    </xf>
    <xf numFmtId="2" fontId="5" fillId="0" borderId="26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165" fontId="6" fillId="0" borderId="28" xfId="1" applyNumberFormat="1" applyFont="1" applyBorder="1" applyAlignment="1" applyProtection="1"/>
    <xf numFmtId="166" fontId="6" fillId="0" borderId="29" xfId="2" applyNumberFormat="1" applyFont="1" applyBorder="1" applyAlignment="1" applyProtection="1">
      <alignment horizontal="center" vertical="center"/>
    </xf>
    <xf numFmtId="0" fontId="7" fillId="0" borderId="0" xfId="0" applyFont="1" applyAlignment="1"/>
    <xf numFmtId="0" fontId="8" fillId="0" borderId="20" xfId="0" applyFont="1" applyBorder="1" applyAlignment="1"/>
    <xf numFmtId="0" fontId="8" fillId="0" borderId="21" xfId="0" applyFont="1" applyBorder="1" applyAlignment="1">
      <alignment horizontal="left"/>
    </xf>
    <xf numFmtId="2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165" fontId="9" fillId="0" borderId="23" xfId="1" applyNumberFormat="1" applyFont="1" applyBorder="1" applyAlignment="1" applyProtection="1"/>
    <xf numFmtId="166" fontId="9" fillId="0" borderId="24" xfId="2" applyNumberFormat="1" applyFont="1" applyBorder="1" applyAlignment="1" applyProtection="1">
      <alignment horizontal="center" vertical="center"/>
    </xf>
    <xf numFmtId="0" fontId="10" fillId="3" borderId="31" xfId="0" applyFont="1" applyFill="1" applyBorder="1" applyAlignment="1">
      <alignment horizontal="left"/>
    </xf>
    <xf numFmtId="2" fontId="10" fillId="3" borderId="31" xfId="0" applyNumberFormat="1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/>
    </xf>
    <xf numFmtId="165" fontId="11" fillId="3" borderId="5" xfId="1" applyNumberFormat="1" applyFont="1" applyFill="1" applyBorder="1" applyAlignment="1" applyProtection="1"/>
    <xf numFmtId="166" fontId="11" fillId="3" borderId="33" xfId="2" applyNumberFormat="1" applyFont="1" applyFill="1" applyBorder="1" applyAlignment="1" applyProtection="1">
      <alignment horizontal="center" vertical="center"/>
    </xf>
    <xf numFmtId="165" fontId="5" fillId="0" borderId="18" xfId="1" applyNumberFormat="1" applyFont="1" applyBorder="1" applyAlignment="1" applyProtection="1"/>
    <xf numFmtId="166" fontId="5" fillId="0" borderId="19" xfId="2" applyNumberFormat="1" applyFont="1" applyBorder="1" applyAlignment="1" applyProtection="1">
      <alignment horizontal="center" vertical="center"/>
    </xf>
    <xf numFmtId="165" fontId="5" fillId="0" borderId="23" xfId="1" applyNumberFormat="1" applyFont="1" applyBorder="1" applyAlignment="1" applyProtection="1"/>
    <xf numFmtId="166" fontId="5" fillId="0" borderId="24" xfId="2" applyNumberFormat="1" applyFont="1" applyBorder="1" applyAlignment="1" applyProtection="1">
      <alignment horizontal="center" vertical="center"/>
    </xf>
    <xf numFmtId="165" fontId="5" fillId="0" borderId="28" xfId="1" applyNumberFormat="1" applyFont="1" applyBorder="1" applyAlignment="1" applyProtection="1"/>
    <xf numFmtId="166" fontId="5" fillId="0" borderId="29" xfId="2" applyNumberFormat="1" applyFont="1" applyBorder="1" applyAlignment="1" applyProtection="1">
      <alignment horizontal="center" vertical="center"/>
    </xf>
    <xf numFmtId="2" fontId="12" fillId="4" borderId="13" xfId="0" applyNumberFormat="1" applyFont="1" applyFill="1" applyBorder="1" applyAlignment="1">
      <alignment horizontal="center" vertical="center"/>
    </xf>
    <xf numFmtId="0" fontId="12" fillId="4" borderId="13" xfId="0" applyFont="1" applyFill="1" applyBorder="1">
      <alignment vertical="center"/>
    </xf>
    <xf numFmtId="165" fontId="12" fillId="4" borderId="13" xfId="0" applyNumberFormat="1" applyFont="1" applyFill="1" applyBorder="1">
      <alignment vertical="center"/>
    </xf>
    <xf numFmtId="166" fontId="12" fillId="4" borderId="14" xfId="2" applyNumberFormat="1" applyFont="1" applyFill="1" applyBorder="1" applyAlignment="1" applyProtection="1">
      <alignment horizontal="center" vertical="center"/>
    </xf>
    <xf numFmtId="0" fontId="8" fillId="0" borderId="25" xfId="0" applyFont="1" applyBorder="1" applyAlignment="1"/>
    <xf numFmtId="0" fontId="8" fillId="0" borderId="26" xfId="0" applyFont="1" applyBorder="1" applyAlignment="1">
      <alignment horizontal="left"/>
    </xf>
    <xf numFmtId="2" fontId="8" fillId="0" borderId="26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/>
    </xf>
    <xf numFmtId="165" fontId="8" fillId="0" borderId="28" xfId="1" applyNumberFormat="1" applyFont="1" applyBorder="1" applyAlignment="1" applyProtection="1"/>
    <xf numFmtId="166" fontId="8" fillId="0" borderId="29" xfId="2" applyNumberFormat="1" applyFont="1" applyBorder="1" applyAlignment="1" applyProtection="1">
      <alignment horizontal="center" vertical="center"/>
    </xf>
    <xf numFmtId="0" fontId="4" fillId="5" borderId="6" xfId="0" applyFont="1" applyFill="1" applyBorder="1" applyAlignment="1"/>
    <xf numFmtId="0" fontId="4" fillId="5" borderId="7" xfId="0" applyFont="1" applyFill="1" applyBorder="1" applyAlignment="1"/>
    <xf numFmtId="2" fontId="4" fillId="5" borderId="7" xfId="0" applyNumberFormat="1" applyFont="1" applyFill="1" applyBorder="1" applyAlignment="1">
      <alignment horizontal="center" vertical="center"/>
    </xf>
    <xf numFmtId="165" fontId="4" fillId="5" borderId="7" xfId="0" applyNumberFormat="1" applyFont="1" applyFill="1" applyBorder="1" applyAlignment="1"/>
    <xf numFmtId="166" fontId="4" fillId="5" borderId="8" xfId="2" applyNumberFormat="1" applyFont="1" applyFill="1" applyBorder="1" applyAlignment="1" applyProtection="1">
      <alignment horizontal="center" vertical="center"/>
    </xf>
    <xf numFmtId="0" fontId="13" fillId="6" borderId="12" xfId="0" applyFont="1" applyFill="1" applyBorder="1" applyAlignment="1"/>
    <xf numFmtId="0" fontId="13" fillId="6" borderId="13" xfId="0" applyFont="1" applyFill="1" applyBorder="1" applyAlignment="1"/>
    <xf numFmtId="2" fontId="13" fillId="6" borderId="13" xfId="0" applyNumberFormat="1" applyFont="1" applyFill="1" applyBorder="1" applyAlignment="1">
      <alignment horizontal="center" vertical="center"/>
    </xf>
    <xf numFmtId="165" fontId="13" fillId="6" borderId="13" xfId="0" applyNumberFormat="1" applyFont="1" applyFill="1" applyBorder="1" applyAlignment="1"/>
    <xf numFmtId="166" fontId="13" fillId="6" borderId="14" xfId="2" applyNumberFormat="1" applyFont="1" applyFill="1" applyBorder="1" applyAlignment="1" applyProtection="1">
      <alignment horizontal="center" vertical="center"/>
    </xf>
    <xf numFmtId="0" fontId="5" fillId="0" borderId="34" xfId="0" applyFont="1" applyBorder="1" applyAlignment="1"/>
    <xf numFmtId="0" fontId="5" fillId="0" borderId="35" xfId="0" applyFont="1" applyBorder="1" applyAlignment="1">
      <alignment horizontal="left"/>
    </xf>
    <xf numFmtId="2" fontId="5" fillId="0" borderId="35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165" fontId="5" fillId="0" borderId="37" xfId="1" applyNumberFormat="1" applyFont="1" applyBorder="1" applyAlignment="1" applyProtection="1"/>
    <xf numFmtId="166" fontId="5" fillId="0" borderId="38" xfId="2" applyNumberFormat="1" applyFont="1" applyBorder="1" applyAlignment="1" applyProtection="1">
      <alignment horizontal="center" vertical="center"/>
    </xf>
    <xf numFmtId="165" fontId="8" fillId="0" borderId="23" xfId="1" applyNumberFormat="1" applyFont="1" applyBorder="1" applyAlignment="1" applyProtection="1"/>
    <xf numFmtId="166" fontId="8" fillId="0" borderId="24" xfId="2" applyNumberFormat="1" applyFont="1" applyBorder="1" applyAlignment="1" applyProtection="1">
      <alignment horizontal="center" vertical="center"/>
    </xf>
    <xf numFmtId="0" fontId="14" fillId="7" borderId="39" xfId="0" applyFont="1" applyFill="1" applyBorder="1" applyAlignment="1"/>
    <xf numFmtId="0" fontId="14" fillId="7" borderId="40" xfId="0" applyFont="1" applyFill="1" applyBorder="1" applyAlignment="1"/>
    <xf numFmtId="2" fontId="14" fillId="7" borderId="40" xfId="0" applyNumberFormat="1" applyFont="1" applyFill="1" applyBorder="1" applyAlignment="1">
      <alignment horizontal="center" vertical="center"/>
    </xf>
    <xf numFmtId="165" fontId="14" fillId="7" borderId="40" xfId="0" applyNumberFormat="1" applyFont="1" applyFill="1" applyBorder="1" applyAlignment="1"/>
    <xf numFmtId="166" fontId="14" fillId="7" borderId="28" xfId="2" applyNumberFormat="1" applyFont="1" applyFill="1" applyBorder="1" applyAlignment="1" applyProtection="1">
      <alignment horizontal="center" vertical="center"/>
    </xf>
    <xf numFmtId="0" fontId="5" fillId="0" borderId="16" xfId="0" applyFont="1" applyBorder="1" applyAlignment="1"/>
    <xf numFmtId="0" fontId="5" fillId="0" borderId="21" xfId="0" applyFont="1" applyBorder="1" applyAlignment="1"/>
    <xf numFmtId="0" fontId="5" fillId="0" borderId="41" xfId="0" applyFont="1" applyBorder="1" applyAlignment="1"/>
    <xf numFmtId="0" fontId="5" fillId="0" borderId="42" xfId="0" applyFont="1" applyBorder="1" applyAlignment="1"/>
    <xf numFmtId="2" fontId="5" fillId="0" borderId="42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/>
    </xf>
    <xf numFmtId="165" fontId="5" fillId="0" borderId="44" xfId="1" applyNumberFormat="1" applyFont="1" applyBorder="1" applyAlignment="1" applyProtection="1"/>
    <xf numFmtId="166" fontId="5" fillId="0" borderId="45" xfId="2" applyNumberFormat="1" applyFont="1" applyBorder="1" applyAlignment="1" applyProtection="1">
      <alignment horizontal="center" vertical="center"/>
    </xf>
    <xf numFmtId="0" fontId="5" fillId="0" borderId="26" xfId="0" applyFont="1" applyBorder="1" applyAlignment="1"/>
    <xf numFmtId="0" fontId="5" fillId="0" borderId="35" xfId="0" applyFont="1" applyBorder="1" applyAlignment="1"/>
    <xf numFmtId="0" fontId="15" fillId="8" borderId="46" xfId="0" applyFont="1" applyFill="1" applyBorder="1" applyAlignment="1"/>
    <xf numFmtId="0" fontId="15" fillId="8" borderId="47" xfId="0" applyFont="1" applyFill="1" applyBorder="1" applyAlignment="1"/>
    <xf numFmtId="2" fontId="15" fillId="8" borderId="47" xfId="0" applyNumberFormat="1" applyFont="1" applyFill="1" applyBorder="1" applyAlignment="1">
      <alignment horizontal="center" vertical="center"/>
    </xf>
    <xf numFmtId="165" fontId="15" fillId="8" borderId="47" xfId="0" applyNumberFormat="1" applyFont="1" applyFill="1" applyBorder="1" applyAlignment="1"/>
    <xf numFmtId="166" fontId="15" fillId="8" borderId="23" xfId="2" applyNumberFormat="1" applyFont="1" applyFill="1" applyBorder="1" applyAlignment="1" applyProtection="1">
      <alignment horizontal="center" vertical="center"/>
    </xf>
    <xf numFmtId="0" fontId="16" fillId="0" borderId="20" xfId="0" applyFont="1" applyBorder="1" applyAlignment="1"/>
    <xf numFmtId="0" fontId="16" fillId="0" borderId="21" xfId="0" applyFont="1" applyBorder="1" applyAlignment="1"/>
    <xf numFmtId="2" fontId="16" fillId="0" borderId="21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7" fillId="0" borderId="20" xfId="0" applyFont="1" applyBorder="1" applyAlignment="1"/>
    <xf numFmtId="0" fontId="17" fillId="0" borderId="21" xfId="0" applyFont="1" applyBorder="1" applyAlignment="1"/>
    <xf numFmtId="2" fontId="17" fillId="0" borderId="21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/>
    </xf>
    <xf numFmtId="165" fontId="18" fillId="0" borderId="23" xfId="1" applyNumberFormat="1" applyFont="1" applyBorder="1" applyAlignment="1" applyProtection="1"/>
    <xf numFmtId="166" fontId="18" fillId="0" borderId="24" xfId="2" applyNumberFormat="1" applyFont="1" applyBorder="1" applyAlignment="1" applyProtection="1">
      <alignment horizontal="center" vertical="center"/>
    </xf>
    <xf numFmtId="2" fontId="15" fillId="9" borderId="47" xfId="0" applyNumberFormat="1" applyFont="1" applyFill="1" applyBorder="1" applyAlignment="1">
      <alignment horizontal="center" vertical="center"/>
    </xf>
    <xf numFmtId="0" fontId="15" fillId="9" borderId="47" xfId="0" applyFont="1" applyFill="1" applyBorder="1" applyAlignment="1"/>
    <xf numFmtId="165" fontId="15" fillId="9" borderId="47" xfId="0" applyNumberFormat="1" applyFont="1" applyFill="1" applyBorder="1" applyAlignment="1"/>
    <xf numFmtId="166" fontId="15" fillId="9" borderId="23" xfId="2" applyNumberFormat="1" applyFont="1" applyFill="1" applyBorder="1" applyAlignment="1" applyProtection="1">
      <alignment horizontal="center" vertical="center"/>
    </xf>
    <xf numFmtId="0" fontId="19" fillId="10" borderId="48" xfId="0" applyFont="1" applyFill="1" applyBorder="1" applyAlignment="1">
      <alignment horizontal="center"/>
    </xf>
    <xf numFmtId="0" fontId="20" fillId="10" borderId="26" xfId="0" applyFont="1" applyFill="1" applyBorder="1" applyAlignment="1">
      <alignment horizontal="center"/>
    </xf>
    <xf numFmtId="43" fontId="20" fillId="10" borderId="49" xfId="0" applyNumberFormat="1" applyFont="1" applyFill="1" applyBorder="1" applyAlignment="1"/>
    <xf numFmtId="165" fontId="20" fillId="10" borderId="29" xfId="0" applyNumberFormat="1" applyFont="1" applyFill="1" applyBorder="1" applyAlignment="1"/>
    <xf numFmtId="166" fontId="20" fillId="10" borderId="29" xfId="0" applyNumberFormat="1" applyFont="1" applyFill="1" applyBorder="1" applyAlignment="1">
      <alignment horizontal="center" vertical="center"/>
    </xf>
    <xf numFmtId="0" fontId="5" fillId="0" borderId="4" xfId="0" applyFont="1" applyBorder="1" applyAlignment="1"/>
    <xf numFmtId="0" fontId="5" fillId="0" borderId="0" xfId="0" applyFont="1" applyAlignment="1"/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22" fillId="0" borderId="0" xfId="0" applyFont="1" applyAlignment="1"/>
    <xf numFmtId="0" fontId="22" fillId="0" borderId="0" xfId="0" applyFont="1" applyAlignment="1">
      <alignment horizontal="center" vertical="center"/>
    </xf>
    <xf numFmtId="165" fontId="23" fillId="0" borderId="23" xfId="1" applyNumberFormat="1" applyFont="1" applyBorder="1" applyAlignment="1" applyProtection="1"/>
    <xf numFmtId="0" fontId="24" fillId="0" borderId="15" xfId="0" applyFont="1" applyBorder="1" applyAlignment="1"/>
    <xf numFmtId="0" fontId="24" fillId="0" borderId="20" xfId="0" applyFont="1" applyBorder="1" applyAlignment="1"/>
    <xf numFmtId="0" fontId="24" fillId="0" borderId="25" xfId="0" applyFont="1" applyBorder="1" applyAlignment="1"/>
    <xf numFmtId="0" fontId="26" fillId="0" borderId="20" xfId="0" applyFont="1" applyBorder="1" applyAlignment="1"/>
    <xf numFmtId="0" fontId="24" fillId="3" borderId="30" xfId="0" applyFont="1" applyFill="1" applyBorder="1" applyAlignment="1"/>
    <xf numFmtId="0" fontId="28" fillId="12" borderId="4" xfId="0" applyFont="1" applyFill="1" applyBorder="1" applyAlignment="1"/>
    <xf numFmtId="0" fontId="29" fillId="12" borderId="0" xfId="0" applyFont="1" applyFill="1" applyAlignment="1" applyProtection="1">
      <alignment horizontal="center"/>
      <protection locked="0"/>
    </xf>
    <xf numFmtId="0" fontId="29" fillId="12" borderId="0" xfId="0" applyFont="1" applyFill="1" applyAlignment="1">
      <alignment horizontal="center"/>
    </xf>
    <xf numFmtId="0" fontId="27" fillId="12" borderId="0" xfId="0" applyFont="1" applyFill="1" applyAlignment="1"/>
    <xf numFmtId="0" fontId="27" fillId="12" borderId="5" xfId="0" applyFont="1" applyFill="1" applyBorder="1" applyAlignment="1">
      <alignment horizontal="center" vertical="center"/>
    </xf>
    <xf numFmtId="0" fontId="30" fillId="13" borderId="4" xfId="0" applyFont="1" applyFill="1" applyBorder="1" applyAlignment="1"/>
    <xf numFmtId="164" fontId="31" fillId="13" borderId="0" xfId="0" applyNumberFormat="1" applyFont="1" applyFill="1" applyAlignment="1" applyProtection="1">
      <alignment horizontal="center"/>
      <protection locked="0"/>
    </xf>
    <xf numFmtId="164" fontId="31" fillId="13" borderId="0" xfId="0" applyNumberFormat="1" applyFont="1" applyFill="1" applyAlignment="1">
      <alignment horizontal="center"/>
    </xf>
    <xf numFmtId="0" fontId="32" fillId="13" borderId="0" xfId="0" applyFont="1" applyFill="1">
      <alignment vertical="center"/>
    </xf>
    <xf numFmtId="0" fontId="32" fillId="13" borderId="5" xfId="0" applyFont="1" applyFill="1" applyBorder="1" applyAlignment="1">
      <alignment horizontal="center" vertical="center"/>
    </xf>
    <xf numFmtId="0" fontId="28" fillId="14" borderId="6" xfId="0" applyFont="1" applyFill="1" applyBorder="1" applyAlignment="1"/>
    <xf numFmtId="164" fontId="31" fillId="14" borderId="0" xfId="0" applyNumberFormat="1" applyFont="1" applyFill="1" applyAlignment="1" applyProtection="1">
      <alignment horizontal="center"/>
      <protection locked="0"/>
    </xf>
    <xf numFmtId="164" fontId="31" fillId="14" borderId="0" xfId="0" applyNumberFormat="1" applyFont="1" applyFill="1" applyAlignment="1">
      <alignment horizontal="center"/>
    </xf>
    <xf numFmtId="0" fontId="33" fillId="14" borderId="7" xfId="0" applyFont="1" applyFill="1" applyBorder="1" applyAlignment="1">
      <alignment horizontal="center"/>
    </xf>
    <xf numFmtId="0" fontId="27" fillId="14" borderId="8" xfId="0" applyFont="1" applyFill="1" applyBorder="1" applyAlignment="1">
      <alignment horizontal="center" vertical="center"/>
    </xf>
    <xf numFmtId="0" fontId="34" fillId="11" borderId="4" xfId="0" applyFont="1" applyFill="1" applyBorder="1" applyAlignment="1"/>
    <xf numFmtId="0" fontId="34" fillId="11" borderId="0" xfId="0" applyFont="1" applyFill="1" applyAlignment="1"/>
    <xf numFmtId="0" fontId="34" fillId="11" borderId="5" xfId="0" applyFont="1" applyFill="1" applyBorder="1" applyAlignment="1">
      <alignment horizontal="center" vertical="center"/>
    </xf>
    <xf numFmtId="0" fontId="25" fillId="15" borderId="9" xfId="0" applyFont="1" applyFill="1" applyBorder="1" applyAlignment="1">
      <alignment horizontal="left"/>
    </xf>
    <xf numFmtId="0" fontId="3" fillId="15" borderId="10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/>
    </xf>
    <xf numFmtId="0" fontId="3" fillId="15" borderId="11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1" fillId="7" borderId="12" xfId="0" applyFont="1" applyFill="1" applyBorder="1" applyAlignment="1">
      <alignment horizontal="center"/>
    </xf>
    <xf numFmtId="0" fontId="21" fillId="7" borderId="13" xfId="0" applyFont="1" applyFill="1" applyBorder="1" applyAlignment="1">
      <alignment horizontal="center"/>
    </xf>
    <xf numFmtId="0" fontId="21" fillId="7" borderId="14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5" fillId="9" borderId="46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0" fontId="19" fillId="10" borderId="39" xfId="0" applyFont="1" applyFill="1" applyBorder="1" applyAlignment="1">
      <alignment horizontal="center"/>
    </xf>
    <xf numFmtId="0" fontId="19" fillId="10" borderId="48" xfId="0" applyFont="1" applyFill="1" applyBorder="1" applyAlignment="1">
      <alignment horizontal="center"/>
    </xf>
    <xf numFmtId="165" fontId="6" fillId="0" borderId="19" xfId="1" applyNumberFormat="1" applyFont="1" applyBorder="1" applyAlignment="1">
      <protection locked="0"/>
    </xf>
    <xf numFmtId="165" fontId="6" fillId="0" borderId="24" xfId="1" applyNumberFormat="1" applyFont="1" applyBorder="1" applyAlignment="1">
      <protection locked="0"/>
    </xf>
    <xf numFmtId="165" fontId="6" fillId="0" borderId="29" xfId="1" applyNumberFormat="1" applyFont="1" applyBorder="1" applyAlignment="1">
      <protection locked="0"/>
    </xf>
    <xf numFmtId="165" fontId="9" fillId="0" borderId="24" xfId="1" applyNumberFormat="1" applyFont="1" applyBorder="1" applyAlignment="1">
      <protection locked="0"/>
    </xf>
    <xf numFmtId="165" fontId="11" fillId="3" borderId="33" xfId="1" applyNumberFormat="1" applyFont="1" applyFill="1" applyBorder="1" applyAlignment="1">
      <protection locked="0"/>
    </xf>
    <xf numFmtId="165" fontId="5" fillId="0" borderId="19" xfId="1" applyNumberFormat="1" applyFont="1" applyBorder="1" applyAlignment="1">
      <protection locked="0"/>
    </xf>
    <xf numFmtId="165" fontId="5" fillId="0" borderId="24" xfId="1" applyNumberFormat="1" applyFont="1" applyBorder="1" applyAlignment="1">
      <protection locked="0"/>
    </xf>
    <xf numFmtId="165" fontId="5" fillId="0" borderId="29" xfId="1" applyNumberFormat="1" applyFont="1" applyBorder="1" applyAlignment="1">
      <protection locked="0"/>
    </xf>
    <xf numFmtId="165" fontId="12" fillId="4" borderId="50" xfId="0" applyNumberFormat="1" applyFont="1" applyFill="1" applyBorder="1" applyProtection="1">
      <alignment vertical="center"/>
      <protection locked="0"/>
    </xf>
    <xf numFmtId="165" fontId="8" fillId="0" borderId="29" xfId="1" applyNumberFormat="1" applyFont="1" applyBorder="1" applyAlignment="1">
      <protection locked="0"/>
    </xf>
    <xf numFmtId="165" fontId="4" fillId="5" borderId="51" xfId="0" applyNumberFormat="1" applyFont="1" applyFill="1" applyBorder="1" applyAlignment="1" applyProtection="1">
      <protection locked="0"/>
    </xf>
    <xf numFmtId="165" fontId="13" fillId="6" borderId="50" xfId="0" applyNumberFormat="1" applyFont="1" applyFill="1" applyBorder="1" applyAlignment="1" applyProtection="1">
      <protection locked="0"/>
    </xf>
    <xf numFmtId="165" fontId="5" fillId="0" borderId="38" xfId="1" applyNumberFormat="1" applyFont="1" applyBorder="1" applyAlignment="1">
      <protection locked="0"/>
    </xf>
    <xf numFmtId="165" fontId="8" fillId="0" borderId="24" xfId="1" applyNumberFormat="1" applyFont="1" applyBorder="1" applyAlignment="1">
      <protection locked="0"/>
    </xf>
    <xf numFmtId="165" fontId="14" fillId="7" borderId="27" xfId="0" applyNumberFormat="1" applyFont="1" applyFill="1" applyBorder="1" applyAlignment="1" applyProtection="1">
      <protection locked="0"/>
    </xf>
    <xf numFmtId="165" fontId="5" fillId="0" borderId="45" xfId="1" applyNumberFormat="1" applyFont="1" applyBorder="1" applyAlignment="1"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9"/>
  <sheetViews>
    <sheetView tabSelected="1" topLeftCell="A41" workbookViewId="0">
      <selection activeCell="G58" sqref="G58"/>
    </sheetView>
  </sheetViews>
  <sheetFormatPr defaultColWidth="8.5546875" defaultRowHeight="14.4" x14ac:dyDescent="0.3"/>
  <cols>
    <col min="1" max="1" width="14.88671875" style="1" customWidth="1"/>
    <col min="2" max="2" width="50.88671875" style="1" customWidth="1"/>
    <col min="3" max="3" width="6" style="1" hidden="1" customWidth="1"/>
    <col min="4" max="4" width="7.6640625" style="1" bestFit="1" customWidth="1"/>
    <col min="5" max="5" width="10.21875" style="1" customWidth="1"/>
    <col min="6" max="6" width="9" style="1" customWidth="1"/>
    <col min="7" max="7" width="17.109375" style="2" customWidth="1"/>
    <col min="8" max="16384" width="8.5546875" style="1"/>
  </cols>
  <sheetData>
    <row r="1" spans="1:7" ht="24.6" x14ac:dyDescent="0.55000000000000004">
      <c r="A1" s="151" t="s">
        <v>150</v>
      </c>
      <c r="B1" s="152"/>
      <c r="C1" s="152"/>
      <c r="D1" s="152"/>
      <c r="E1" s="152"/>
      <c r="F1" s="152"/>
      <c r="G1" s="153"/>
    </row>
    <row r="2" spans="1:7" ht="16.8" x14ac:dyDescent="0.4">
      <c r="A2" s="138" t="s">
        <v>0</v>
      </c>
      <c r="B2" s="139"/>
      <c r="C2" s="139"/>
      <c r="D2" s="139"/>
      <c r="E2" s="139"/>
      <c r="F2" s="139"/>
      <c r="G2" s="140"/>
    </row>
    <row r="3" spans="1:7" ht="16.8" x14ac:dyDescent="0.4">
      <c r="A3" s="123" t="s">
        <v>1</v>
      </c>
      <c r="B3" s="124" t="s">
        <v>153</v>
      </c>
      <c r="C3" s="125"/>
      <c r="D3" s="126"/>
      <c r="E3" s="126"/>
      <c r="F3" s="126"/>
      <c r="G3" s="127"/>
    </row>
    <row r="4" spans="1:7" ht="19.2" x14ac:dyDescent="0.4">
      <c r="A4" s="128" t="s">
        <v>2</v>
      </c>
      <c r="B4" s="129" t="s">
        <v>151</v>
      </c>
      <c r="C4" s="130"/>
      <c r="D4" s="131"/>
      <c r="E4" s="131"/>
      <c r="F4" s="131"/>
      <c r="G4" s="132"/>
    </row>
    <row r="5" spans="1:7" ht="16.8" x14ac:dyDescent="0.4">
      <c r="A5" s="133" t="s">
        <v>3</v>
      </c>
      <c r="B5" s="134" t="s">
        <v>152</v>
      </c>
      <c r="C5" s="135"/>
      <c r="D5" s="136"/>
      <c r="E5" s="136"/>
      <c r="F5" s="136"/>
      <c r="G5" s="137"/>
    </row>
    <row r="6" spans="1:7" ht="15" x14ac:dyDescent="0.35">
      <c r="A6" s="141" t="s">
        <v>96</v>
      </c>
      <c r="B6" s="142" t="s">
        <v>4</v>
      </c>
      <c r="C6" s="142" t="s">
        <v>5</v>
      </c>
      <c r="D6" s="142" t="s">
        <v>6</v>
      </c>
      <c r="E6" s="142" t="s">
        <v>7</v>
      </c>
      <c r="F6" s="143" t="s">
        <v>8</v>
      </c>
      <c r="G6" s="144" t="s">
        <v>9</v>
      </c>
    </row>
    <row r="7" spans="1:7" ht="21" thickBot="1" x14ac:dyDescent="0.35">
      <c r="A7" s="154" t="s">
        <v>154</v>
      </c>
      <c r="B7" s="155"/>
      <c r="C7" s="3"/>
      <c r="D7" s="4"/>
      <c r="E7" s="4"/>
      <c r="F7" s="4"/>
      <c r="G7" s="5"/>
    </row>
    <row r="8" spans="1:7" ht="15" x14ac:dyDescent="0.35">
      <c r="A8" s="118" t="s">
        <v>92</v>
      </c>
      <c r="B8" s="7" t="s">
        <v>10</v>
      </c>
      <c r="C8" s="8">
        <v>5</v>
      </c>
      <c r="D8" s="9">
        <v>5.0000000000000001E-3</v>
      </c>
      <c r="E8" s="162"/>
      <c r="F8" s="10">
        <f>D8*E8</f>
        <v>0</v>
      </c>
      <c r="G8" s="11">
        <f>E8*C8</f>
        <v>0</v>
      </c>
    </row>
    <row r="9" spans="1:7" ht="15" x14ac:dyDescent="0.35">
      <c r="A9" s="119" t="s">
        <v>94</v>
      </c>
      <c r="B9" s="13" t="s">
        <v>11</v>
      </c>
      <c r="C9" s="14">
        <v>7.5</v>
      </c>
      <c r="D9" s="15">
        <v>0.01</v>
      </c>
      <c r="E9" s="163"/>
      <c r="F9" s="16">
        <f t="shared" ref="F9:F72" si="0">D9*E9</f>
        <v>0</v>
      </c>
      <c r="G9" s="17">
        <f t="shared" ref="G9:G68" si="1">E9*C9</f>
        <v>0</v>
      </c>
    </row>
    <row r="10" spans="1:7" ht="15" x14ac:dyDescent="0.35">
      <c r="A10" s="119" t="s">
        <v>93</v>
      </c>
      <c r="B10" s="13" t="s">
        <v>149</v>
      </c>
      <c r="C10" s="14">
        <v>20</v>
      </c>
      <c r="D10" s="15">
        <v>2.5000000000000001E-2</v>
      </c>
      <c r="E10" s="163"/>
      <c r="F10" s="16">
        <f t="shared" si="0"/>
        <v>0</v>
      </c>
      <c r="G10" s="17">
        <f t="shared" si="1"/>
        <v>0</v>
      </c>
    </row>
    <row r="11" spans="1:7" ht="15.6" thickBot="1" x14ac:dyDescent="0.4">
      <c r="A11" s="120" t="s">
        <v>95</v>
      </c>
      <c r="B11" s="19" t="s">
        <v>12</v>
      </c>
      <c r="C11" s="20">
        <v>38</v>
      </c>
      <c r="D11" s="21">
        <v>0.05</v>
      </c>
      <c r="E11" s="164">
        <v>0</v>
      </c>
      <c r="F11" s="22">
        <f t="shared" si="0"/>
        <v>0</v>
      </c>
      <c r="G11" s="23">
        <f t="shared" si="1"/>
        <v>0</v>
      </c>
    </row>
    <row r="12" spans="1:7" ht="15" x14ac:dyDescent="0.35">
      <c r="A12" s="118" t="s">
        <v>97</v>
      </c>
      <c r="B12" s="7" t="s">
        <v>13</v>
      </c>
      <c r="C12" s="8">
        <v>3.75</v>
      </c>
      <c r="D12" s="9">
        <v>5.0000000000000001E-3</v>
      </c>
      <c r="E12" s="162">
        <v>0</v>
      </c>
      <c r="F12" s="10">
        <f t="shared" si="0"/>
        <v>0</v>
      </c>
      <c r="G12" s="11">
        <f t="shared" si="1"/>
        <v>0</v>
      </c>
    </row>
    <row r="13" spans="1:7" ht="15" x14ac:dyDescent="0.35">
      <c r="A13" s="119" t="s">
        <v>98</v>
      </c>
      <c r="B13" s="13" t="s">
        <v>14</v>
      </c>
      <c r="C13" s="14">
        <v>7</v>
      </c>
      <c r="D13" s="15">
        <v>0.01</v>
      </c>
      <c r="E13" s="163">
        <v>0</v>
      </c>
      <c r="F13" s="117">
        <f t="shared" si="0"/>
        <v>0</v>
      </c>
      <c r="G13" s="17">
        <f t="shared" si="1"/>
        <v>0</v>
      </c>
    </row>
    <row r="14" spans="1:7" s="24" customFormat="1" ht="15" x14ac:dyDescent="0.35">
      <c r="A14" s="121" t="s">
        <v>99</v>
      </c>
      <c r="B14" s="26" t="s">
        <v>15</v>
      </c>
      <c r="C14" s="27">
        <v>17</v>
      </c>
      <c r="D14" s="28">
        <v>2.5000000000000001E-2</v>
      </c>
      <c r="E14" s="165">
        <v>0</v>
      </c>
      <c r="F14" s="29">
        <f t="shared" si="0"/>
        <v>0</v>
      </c>
      <c r="G14" s="30">
        <f t="shared" si="1"/>
        <v>0</v>
      </c>
    </row>
    <row r="15" spans="1:7" ht="15.6" thickBot="1" x14ac:dyDescent="0.4">
      <c r="A15" s="120" t="s">
        <v>100</v>
      </c>
      <c r="B15" s="19" t="s">
        <v>16</v>
      </c>
      <c r="C15" s="20">
        <v>34</v>
      </c>
      <c r="D15" s="21">
        <v>0.05</v>
      </c>
      <c r="E15" s="164">
        <v>0</v>
      </c>
      <c r="F15" s="22">
        <f t="shared" si="0"/>
        <v>0</v>
      </c>
      <c r="G15" s="23">
        <f t="shared" si="1"/>
        <v>0</v>
      </c>
    </row>
    <row r="16" spans="1:7" ht="15" x14ac:dyDescent="0.35">
      <c r="A16" s="118" t="s">
        <v>101</v>
      </c>
      <c r="B16" s="7" t="s">
        <v>17</v>
      </c>
      <c r="C16" s="8">
        <v>3.5</v>
      </c>
      <c r="D16" s="9">
        <v>5.0000000000000001E-3</v>
      </c>
      <c r="E16" s="162">
        <v>0</v>
      </c>
      <c r="F16" s="10">
        <f t="shared" si="0"/>
        <v>0</v>
      </c>
      <c r="G16" s="11">
        <f t="shared" si="1"/>
        <v>0</v>
      </c>
    </row>
    <row r="17" spans="1:7" ht="15" x14ac:dyDescent="0.35">
      <c r="A17" s="119" t="s">
        <v>102</v>
      </c>
      <c r="B17" s="13" t="s">
        <v>18</v>
      </c>
      <c r="C17" s="14">
        <v>6.5</v>
      </c>
      <c r="D17" s="15">
        <v>0.01</v>
      </c>
      <c r="E17" s="163">
        <v>0</v>
      </c>
      <c r="F17" s="16">
        <f t="shared" si="0"/>
        <v>0</v>
      </c>
      <c r="G17" s="17">
        <f t="shared" si="1"/>
        <v>0</v>
      </c>
    </row>
    <row r="18" spans="1:7" ht="15" x14ac:dyDescent="0.35">
      <c r="A18" s="119" t="s">
        <v>103</v>
      </c>
      <c r="B18" s="13" t="s">
        <v>19</v>
      </c>
      <c r="C18" s="14">
        <v>13.5</v>
      </c>
      <c r="D18" s="15">
        <v>0.02</v>
      </c>
      <c r="E18" s="163">
        <v>0</v>
      </c>
      <c r="F18" s="16">
        <f t="shared" si="0"/>
        <v>0</v>
      </c>
      <c r="G18" s="17">
        <f t="shared" si="1"/>
        <v>0</v>
      </c>
    </row>
    <row r="19" spans="1:7" ht="15" hidden="1" x14ac:dyDescent="0.35">
      <c r="A19" s="12" t="s">
        <v>101</v>
      </c>
      <c r="B19" s="13" t="s">
        <v>20</v>
      </c>
      <c r="C19" s="14">
        <v>16.5</v>
      </c>
      <c r="D19" s="15">
        <v>2.5000000000000001E-2</v>
      </c>
      <c r="E19" s="163"/>
      <c r="F19" s="16">
        <f t="shared" si="0"/>
        <v>0</v>
      </c>
      <c r="G19" s="17">
        <f t="shared" si="1"/>
        <v>0</v>
      </c>
    </row>
    <row r="20" spans="1:7" ht="15.6" thickBot="1" x14ac:dyDescent="0.4">
      <c r="A20" s="120" t="s">
        <v>104</v>
      </c>
      <c r="B20" s="19" t="s">
        <v>21</v>
      </c>
      <c r="C20" s="20">
        <v>33</v>
      </c>
      <c r="D20" s="21">
        <v>0.05</v>
      </c>
      <c r="E20" s="164">
        <v>0</v>
      </c>
      <c r="F20" s="22">
        <f t="shared" si="0"/>
        <v>0</v>
      </c>
      <c r="G20" s="23">
        <f t="shared" si="1"/>
        <v>0</v>
      </c>
    </row>
    <row r="21" spans="1:7" ht="15.6" thickBot="1" x14ac:dyDescent="0.4">
      <c r="A21" s="122" t="s">
        <v>105</v>
      </c>
      <c r="B21" s="31" t="s">
        <v>22</v>
      </c>
      <c r="C21" s="32">
        <v>33</v>
      </c>
      <c r="D21" s="33">
        <v>0.05</v>
      </c>
      <c r="E21" s="166">
        <v>0</v>
      </c>
      <c r="F21" s="34">
        <f t="shared" si="0"/>
        <v>0</v>
      </c>
      <c r="G21" s="35">
        <f t="shared" si="1"/>
        <v>0</v>
      </c>
    </row>
    <row r="22" spans="1:7" ht="15" x14ac:dyDescent="0.35">
      <c r="A22" s="118" t="s">
        <v>106</v>
      </c>
      <c r="B22" s="7" t="s">
        <v>23</v>
      </c>
      <c r="C22" s="8">
        <v>3.25</v>
      </c>
      <c r="D22" s="9">
        <v>5.0000000000000001E-3</v>
      </c>
      <c r="E22" s="162">
        <v>0</v>
      </c>
      <c r="F22" s="10">
        <f t="shared" si="0"/>
        <v>0</v>
      </c>
      <c r="G22" s="11">
        <f t="shared" si="1"/>
        <v>0</v>
      </c>
    </row>
    <row r="23" spans="1:7" ht="15" x14ac:dyDescent="0.35">
      <c r="A23" s="119" t="s">
        <v>107</v>
      </c>
      <c r="B23" s="13" t="s">
        <v>24</v>
      </c>
      <c r="C23" s="14">
        <v>6</v>
      </c>
      <c r="D23" s="15">
        <v>0.01</v>
      </c>
      <c r="E23" s="163">
        <v>0</v>
      </c>
      <c r="F23" s="16">
        <f t="shared" si="0"/>
        <v>0</v>
      </c>
      <c r="G23" s="17">
        <f t="shared" si="1"/>
        <v>0</v>
      </c>
    </row>
    <row r="24" spans="1:7" s="24" customFormat="1" ht="15" x14ac:dyDescent="0.35">
      <c r="A24" s="121" t="s">
        <v>108</v>
      </c>
      <c r="B24" s="26" t="s">
        <v>25</v>
      </c>
      <c r="C24" s="27">
        <v>16</v>
      </c>
      <c r="D24" s="28">
        <v>2.5000000000000001E-2</v>
      </c>
      <c r="E24" s="165">
        <v>0</v>
      </c>
      <c r="F24" s="29">
        <f t="shared" si="0"/>
        <v>0</v>
      </c>
      <c r="G24" s="30">
        <f t="shared" si="1"/>
        <v>0</v>
      </c>
    </row>
    <row r="25" spans="1:7" ht="15.6" thickBot="1" x14ac:dyDescent="0.4">
      <c r="A25" s="120" t="s">
        <v>109</v>
      </c>
      <c r="B25" s="19" t="s">
        <v>26</v>
      </c>
      <c r="C25" s="20">
        <v>32</v>
      </c>
      <c r="D25" s="21">
        <v>0.05</v>
      </c>
      <c r="E25" s="164">
        <v>0</v>
      </c>
      <c r="F25" s="22">
        <f t="shared" si="0"/>
        <v>0</v>
      </c>
      <c r="G25" s="23">
        <f t="shared" si="1"/>
        <v>0</v>
      </c>
    </row>
    <row r="26" spans="1:7" x14ac:dyDescent="0.3">
      <c r="A26" s="118" t="s">
        <v>110</v>
      </c>
      <c r="B26" s="7" t="s">
        <v>27</v>
      </c>
      <c r="C26" s="8">
        <v>16</v>
      </c>
      <c r="D26" s="9">
        <v>2.5000000000000001E-2</v>
      </c>
      <c r="E26" s="167">
        <v>0</v>
      </c>
      <c r="F26" s="36">
        <f t="shared" si="0"/>
        <v>0</v>
      </c>
      <c r="G26" s="37">
        <f t="shared" si="1"/>
        <v>0</v>
      </c>
    </row>
    <row r="27" spans="1:7" x14ac:dyDescent="0.3">
      <c r="A27" s="119" t="s">
        <v>111</v>
      </c>
      <c r="B27" s="13" t="s">
        <v>28</v>
      </c>
      <c r="C27" s="14">
        <v>31</v>
      </c>
      <c r="D27" s="15">
        <v>0.05</v>
      </c>
      <c r="E27" s="168">
        <v>0</v>
      </c>
      <c r="F27" s="38">
        <f t="shared" si="0"/>
        <v>0</v>
      </c>
      <c r="G27" s="39">
        <f t="shared" si="1"/>
        <v>0</v>
      </c>
    </row>
    <row r="28" spans="1:7" x14ac:dyDescent="0.3">
      <c r="A28" s="119" t="s">
        <v>112</v>
      </c>
      <c r="B28" s="13" t="s">
        <v>29</v>
      </c>
      <c r="C28" s="14">
        <v>15.5</v>
      </c>
      <c r="D28" s="15">
        <v>2.5000000000000001E-2</v>
      </c>
      <c r="E28" s="168">
        <v>0</v>
      </c>
      <c r="F28" s="38">
        <f t="shared" si="0"/>
        <v>0</v>
      </c>
      <c r="G28" s="39">
        <f t="shared" si="1"/>
        <v>0</v>
      </c>
    </row>
    <row r="29" spans="1:7" ht="15" thickBot="1" x14ac:dyDescent="0.35">
      <c r="A29" s="120" t="s">
        <v>113</v>
      </c>
      <c r="B29" s="19" t="s">
        <v>30</v>
      </c>
      <c r="C29" s="20">
        <v>30</v>
      </c>
      <c r="D29" s="21">
        <v>0.05</v>
      </c>
      <c r="E29" s="169"/>
      <c r="F29" s="40">
        <f t="shared" si="0"/>
        <v>0</v>
      </c>
      <c r="G29" s="41">
        <f t="shared" si="1"/>
        <v>0</v>
      </c>
    </row>
    <row r="30" spans="1:7" ht="21" thickBot="1" x14ac:dyDescent="0.35">
      <c r="A30" s="156" t="s">
        <v>155</v>
      </c>
      <c r="B30" s="157"/>
      <c r="C30" s="42"/>
      <c r="D30" s="43"/>
      <c r="E30" s="170"/>
      <c r="F30" s="44"/>
      <c r="G30" s="45"/>
    </row>
    <row r="31" spans="1:7" x14ac:dyDescent="0.3">
      <c r="A31" s="6" t="s">
        <v>114</v>
      </c>
      <c r="B31" s="7" t="s">
        <v>31</v>
      </c>
      <c r="C31" s="8">
        <v>3.5</v>
      </c>
      <c r="D31" s="9">
        <v>5.0000000000000001E-3</v>
      </c>
      <c r="E31" s="167"/>
      <c r="F31" s="36">
        <f t="shared" si="0"/>
        <v>0</v>
      </c>
      <c r="G31" s="37">
        <f t="shared" si="1"/>
        <v>0</v>
      </c>
    </row>
    <row r="32" spans="1:7" x14ac:dyDescent="0.3">
      <c r="A32" s="12" t="s">
        <v>115</v>
      </c>
      <c r="B32" s="13" t="s">
        <v>32</v>
      </c>
      <c r="C32" s="14">
        <v>6.5</v>
      </c>
      <c r="D32" s="15">
        <v>0.01</v>
      </c>
      <c r="E32" s="168"/>
      <c r="F32" s="38">
        <f t="shared" si="0"/>
        <v>0</v>
      </c>
      <c r="G32" s="39">
        <f t="shared" si="1"/>
        <v>0</v>
      </c>
    </row>
    <row r="33" spans="1:7" x14ac:dyDescent="0.3">
      <c r="A33" s="12" t="s">
        <v>116</v>
      </c>
      <c r="B33" s="13" t="s">
        <v>33</v>
      </c>
      <c r="C33" s="14">
        <v>12.5</v>
      </c>
      <c r="D33" s="15">
        <v>0.02</v>
      </c>
      <c r="E33" s="168"/>
      <c r="F33" s="38">
        <f t="shared" si="0"/>
        <v>0</v>
      </c>
      <c r="G33" s="39">
        <f t="shared" si="1"/>
        <v>0</v>
      </c>
    </row>
    <row r="34" spans="1:7" ht="15" thickBot="1" x14ac:dyDescent="0.35">
      <c r="A34" s="18" t="s">
        <v>117</v>
      </c>
      <c r="B34" s="19" t="s">
        <v>34</v>
      </c>
      <c r="C34" s="20">
        <v>27</v>
      </c>
      <c r="D34" s="21">
        <v>0.05</v>
      </c>
      <c r="E34" s="169">
        <v>0</v>
      </c>
      <c r="F34" s="40">
        <f t="shared" si="0"/>
        <v>0</v>
      </c>
      <c r="G34" s="41">
        <f t="shared" si="1"/>
        <v>0</v>
      </c>
    </row>
    <row r="35" spans="1:7" s="24" customFormat="1" ht="15" thickBot="1" x14ac:dyDescent="0.35">
      <c r="A35" s="46" t="s">
        <v>118</v>
      </c>
      <c r="B35" s="47" t="s">
        <v>35</v>
      </c>
      <c r="C35" s="48">
        <v>26</v>
      </c>
      <c r="D35" s="49">
        <v>0.05</v>
      </c>
      <c r="E35" s="171"/>
      <c r="F35" s="50">
        <f t="shared" si="0"/>
        <v>0</v>
      </c>
      <c r="G35" s="51">
        <f t="shared" si="1"/>
        <v>0</v>
      </c>
    </row>
    <row r="36" spans="1:7" ht="15" thickBot="1" x14ac:dyDescent="0.35">
      <c r="A36" s="18" t="s">
        <v>119</v>
      </c>
      <c r="B36" s="19" t="s">
        <v>36</v>
      </c>
      <c r="C36" s="20">
        <v>31</v>
      </c>
      <c r="D36" s="21">
        <v>0.05</v>
      </c>
      <c r="E36" s="169"/>
      <c r="F36" s="40">
        <f t="shared" si="0"/>
        <v>0</v>
      </c>
      <c r="G36" s="41">
        <f t="shared" si="1"/>
        <v>0</v>
      </c>
    </row>
    <row r="37" spans="1:7" ht="15" thickBot="1" x14ac:dyDescent="0.35">
      <c r="A37" s="18" t="s">
        <v>120</v>
      </c>
      <c r="B37" s="19" t="s">
        <v>37</v>
      </c>
      <c r="C37" s="20">
        <v>29</v>
      </c>
      <c r="D37" s="21">
        <v>0.05</v>
      </c>
      <c r="E37" s="169"/>
      <c r="F37" s="40">
        <f t="shared" si="0"/>
        <v>0</v>
      </c>
      <c r="G37" s="41">
        <f t="shared" si="1"/>
        <v>0</v>
      </c>
    </row>
    <row r="38" spans="1:7" ht="15" thickBot="1" x14ac:dyDescent="0.35">
      <c r="A38" s="18" t="s">
        <v>121</v>
      </c>
      <c r="B38" s="19" t="s">
        <v>38</v>
      </c>
      <c r="C38" s="20">
        <v>28</v>
      </c>
      <c r="D38" s="21">
        <v>0.05</v>
      </c>
      <c r="E38" s="169"/>
      <c r="F38" s="40">
        <f t="shared" si="0"/>
        <v>0</v>
      </c>
      <c r="G38" s="41">
        <f t="shared" si="1"/>
        <v>0</v>
      </c>
    </row>
    <row r="39" spans="1:7" ht="21" thickBot="1" x14ac:dyDescent="0.5">
      <c r="A39" s="52" t="s">
        <v>156</v>
      </c>
      <c r="B39" s="53"/>
      <c r="C39" s="54"/>
      <c r="D39" s="53"/>
      <c r="E39" s="172"/>
      <c r="F39" s="55"/>
      <c r="G39" s="56"/>
    </row>
    <row r="40" spans="1:7" x14ac:dyDescent="0.3">
      <c r="A40" s="6" t="s">
        <v>122</v>
      </c>
      <c r="B40" s="7" t="s">
        <v>39</v>
      </c>
      <c r="C40" s="8">
        <v>3.5</v>
      </c>
      <c r="D40" s="9">
        <v>5.0000000000000001E-3</v>
      </c>
      <c r="E40" s="167"/>
      <c r="F40" s="36">
        <f t="shared" si="0"/>
        <v>0</v>
      </c>
      <c r="G40" s="37">
        <f t="shared" si="1"/>
        <v>0</v>
      </c>
    </row>
    <row r="41" spans="1:7" x14ac:dyDescent="0.3">
      <c r="A41" s="12" t="s">
        <v>123</v>
      </c>
      <c r="B41" s="13" t="s">
        <v>40</v>
      </c>
      <c r="C41" s="14">
        <v>7</v>
      </c>
      <c r="D41" s="15">
        <v>0.01</v>
      </c>
      <c r="E41" s="168"/>
      <c r="F41" s="38">
        <f t="shared" si="0"/>
        <v>0</v>
      </c>
      <c r="G41" s="39">
        <f t="shared" si="1"/>
        <v>0</v>
      </c>
    </row>
    <row r="42" spans="1:7" ht="15" thickBot="1" x14ac:dyDescent="0.35">
      <c r="A42" s="18" t="s">
        <v>124</v>
      </c>
      <c r="B42" s="19" t="s">
        <v>41</v>
      </c>
      <c r="C42" s="20">
        <v>28</v>
      </c>
      <c r="D42" s="21">
        <v>0.05</v>
      </c>
      <c r="E42" s="169"/>
      <c r="F42" s="40">
        <f t="shared" si="0"/>
        <v>0</v>
      </c>
      <c r="G42" s="41">
        <f t="shared" si="1"/>
        <v>0</v>
      </c>
    </row>
    <row r="43" spans="1:7" x14ac:dyDescent="0.3">
      <c r="A43" s="6" t="s">
        <v>125</v>
      </c>
      <c r="B43" s="7" t="s">
        <v>42</v>
      </c>
      <c r="C43" s="8">
        <v>3</v>
      </c>
      <c r="D43" s="9">
        <v>5.0000000000000001E-3</v>
      </c>
      <c r="E43" s="167"/>
      <c r="F43" s="36">
        <f t="shared" si="0"/>
        <v>0</v>
      </c>
      <c r="G43" s="37">
        <f t="shared" si="1"/>
        <v>0</v>
      </c>
    </row>
    <row r="44" spans="1:7" x14ac:dyDescent="0.3">
      <c r="A44" s="12" t="s">
        <v>126</v>
      </c>
      <c r="B44" s="13" t="s">
        <v>43</v>
      </c>
      <c r="C44" s="14">
        <v>6</v>
      </c>
      <c r="D44" s="15">
        <v>0.01</v>
      </c>
      <c r="E44" s="168"/>
      <c r="F44" s="38">
        <f t="shared" si="0"/>
        <v>0</v>
      </c>
      <c r="G44" s="39">
        <f t="shared" si="1"/>
        <v>0</v>
      </c>
    </row>
    <row r="45" spans="1:7" ht="15" thickBot="1" x14ac:dyDescent="0.35">
      <c r="A45" s="18" t="s">
        <v>127</v>
      </c>
      <c r="B45" s="19" t="s">
        <v>44</v>
      </c>
      <c r="C45" s="20">
        <v>27</v>
      </c>
      <c r="D45" s="21">
        <v>0.05</v>
      </c>
      <c r="E45" s="169"/>
      <c r="F45" s="40">
        <f t="shared" si="0"/>
        <v>0</v>
      </c>
      <c r="G45" s="41">
        <f t="shared" si="1"/>
        <v>0</v>
      </c>
    </row>
    <row r="46" spans="1:7" hidden="1" x14ac:dyDescent="0.3">
      <c r="A46" s="6" t="s">
        <v>128</v>
      </c>
      <c r="B46" s="7" t="s">
        <v>45</v>
      </c>
      <c r="C46" s="8"/>
      <c r="D46" s="9">
        <v>0.05</v>
      </c>
      <c r="E46" s="167"/>
      <c r="F46" s="36">
        <f t="shared" si="0"/>
        <v>0</v>
      </c>
      <c r="G46" s="37">
        <f t="shared" si="1"/>
        <v>0</v>
      </c>
    </row>
    <row r="47" spans="1:7" ht="15" thickBot="1" x14ac:dyDescent="0.35">
      <c r="A47" s="18" t="s">
        <v>128</v>
      </c>
      <c r="B47" s="19" t="s">
        <v>46</v>
      </c>
      <c r="C47" s="20">
        <v>28</v>
      </c>
      <c r="D47" s="21">
        <v>0.05</v>
      </c>
      <c r="E47" s="169"/>
      <c r="F47" s="40">
        <f t="shared" si="0"/>
        <v>0</v>
      </c>
      <c r="G47" s="41">
        <f t="shared" si="1"/>
        <v>0</v>
      </c>
    </row>
    <row r="48" spans="1:7" ht="21" thickBot="1" x14ac:dyDescent="0.5">
      <c r="A48" s="57" t="s">
        <v>159</v>
      </c>
      <c r="B48" s="58"/>
      <c r="C48" s="59"/>
      <c r="D48" s="58"/>
      <c r="E48" s="173"/>
      <c r="F48" s="60"/>
      <c r="G48" s="61"/>
    </row>
    <row r="49" spans="1:7" x14ac:dyDescent="0.3">
      <c r="A49" s="6" t="s">
        <v>133</v>
      </c>
      <c r="B49" s="7" t="s">
        <v>129</v>
      </c>
      <c r="C49" s="8">
        <v>3.5</v>
      </c>
      <c r="D49" s="9">
        <v>5.0000000000000001E-3</v>
      </c>
      <c r="E49" s="167"/>
      <c r="F49" s="36">
        <f t="shared" si="0"/>
        <v>0</v>
      </c>
      <c r="G49" s="37">
        <f t="shared" si="1"/>
        <v>0</v>
      </c>
    </row>
    <row r="50" spans="1:7" x14ac:dyDescent="0.3">
      <c r="A50" s="12" t="s">
        <v>134</v>
      </c>
      <c r="B50" s="13" t="s">
        <v>130</v>
      </c>
      <c r="C50" s="14">
        <v>7</v>
      </c>
      <c r="D50" s="15">
        <v>0.01</v>
      </c>
      <c r="E50" s="168"/>
      <c r="F50" s="38">
        <f t="shared" si="0"/>
        <v>0</v>
      </c>
      <c r="G50" s="39">
        <f t="shared" si="1"/>
        <v>0</v>
      </c>
    </row>
    <row r="51" spans="1:7" x14ac:dyDescent="0.3">
      <c r="A51" s="12" t="s">
        <v>135</v>
      </c>
      <c r="B51" s="13" t="s">
        <v>131</v>
      </c>
      <c r="C51" s="14">
        <v>15</v>
      </c>
      <c r="D51" s="15">
        <v>0.02</v>
      </c>
      <c r="E51" s="168"/>
      <c r="F51" s="38">
        <f t="shared" si="0"/>
        <v>0</v>
      </c>
      <c r="G51" s="39">
        <f t="shared" si="1"/>
        <v>0</v>
      </c>
    </row>
    <row r="52" spans="1:7" ht="15" thickBot="1" x14ac:dyDescent="0.35">
      <c r="A52" s="18" t="s">
        <v>136</v>
      </c>
      <c r="B52" s="19" t="s">
        <v>132</v>
      </c>
      <c r="C52" s="20">
        <v>34</v>
      </c>
      <c r="D52" s="21">
        <v>0.05</v>
      </c>
      <c r="E52" s="169"/>
      <c r="F52" s="40">
        <f t="shared" si="0"/>
        <v>0</v>
      </c>
      <c r="G52" s="41">
        <f t="shared" si="1"/>
        <v>0</v>
      </c>
    </row>
    <row r="53" spans="1:7" x14ac:dyDescent="0.3">
      <c r="A53" s="62" t="s">
        <v>139</v>
      </c>
      <c r="B53" s="63" t="s">
        <v>47</v>
      </c>
      <c r="C53" s="64">
        <v>30</v>
      </c>
      <c r="D53" s="65">
        <v>0.05</v>
      </c>
      <c r="E53" s="174"/>
      <c r="F53" s="66">
        <f t="shared" si="0"/>
        <v>0</v>
      </c>
      <c r="G53" s="67">
        <f t="shared" si="1"/>
        <v>0</v>
      </c>
    </row>
    <row r="54" spans="1:7" x14ac:dyDescent="0.3">
      <c r="A54" s="12" t="s">
        <v>144</v>
      </c>
      <c r="B54" s="13" t="s">
        <v>48</v>
      </c>
      <c r="C54" s="14">
        <v>30</v>
      </c>
      <c r="D54" s="15">
        <v>0.05</v>
      </c>
      <c r="E54" s="168"/>
      <c r="F54" s="38">
        <f t="shared" si="0"/>
        <v>0</v>
      </c>
      <c r="G54" s="39">
        <f t="shared" si="1"/>
        <v>0</v>
      </c>
    </row>
    <row r="55" spans="1:7" x14ac:dyDescent="0.3">
      <c r="A55" s="12" t="s">
        <v>140</v>
      </c>
      <c r="B55" s="13" t="s">
        <v>49</v>
      </c>
      <c r="C55" s="14">
        <v>28</v>
      </c>
      <c r="D55" s="15">
        <v>0.05</v>
      </c>
      <c r="E55" s="168"/>
      <c r="F55" s="38">
        <f t="shared" si="0"/>
        <v>0</v>
      </c>
      <c r="G55" s="39">
        <f t="shared" si="1"/>
        <v>0</v>
      </c>
    </row>
    <row r="56" spans="1:7" x14ac:dyDescent="0.3">
      <c r="A56" s="12" t="s">
        <v>143</v>
      </c>
      <c r="B56" s="13" t="s">
        <v>50</v>
      </c>
      <c r="C56" s="14">
        <v>35</v>
      </c>
      <c r="D56" s="15">
        <v>0.05</v>
      </c>
      <c r="E56" s="168"/>
      <c r="F56" s="38">
        <f t="shared" si="0"/>
        <v>0</v>
      </c>
      <c r="G56" s="39">
        <f t="shared" si="1"/>
        <v>0</v>
      </c>
    </row>
    <row r="57" spans="1:7" x14ac:dyDescent="0.3">
      <c r="A57" s="25" t="s">
        <v>141</v>
      </c>
      <c r="B57" s="26" t="s">
        <v>51</v>
      </c>
      <c r="C57" s="27">
        <v>27.5</v>
      </c>
      <c r="D57" s="28">
        <v>0.05</v>
      </c>
      <c r="E57" s="175"/>
      <c r="F57" s="68">
        <f t="shared" si="0"/>
        <v>0</v>
      </c>
      <c r="G57" s="69">
        <f t="shared" si="1"/>
        <v>0</v>
      </c>
    </row>
    <row r="58" spans="1:7" x14ac:dyDescent="0.3">
      <c r="A58" s="12" t="s">
        <v>142</v>
      </c>
      <c r="B58" s="13" t="s">
        <v>52</v>
      </c>
      <c r="C58" s="14">
        <v>27.5</v>
      </c>
      <c r="D58" s="15">
        <v>0.05</v>
      </c>
      <c r="E58" s="168"/>
      <c r="F58" s="38">
        <f t="shared" si="0"/>
        <v>0</v>
      </c>
      <c r="G58" s="39">
        <f t="shared" si="1"/>
        <v>0</v>
      </c>
    </row>
    <row r="59" spans="1:7" ht="21" thickBot="1" x14ac:dyDescent="0.5">
      <c r="A59" s="70" t="s">
        <v>157</v>
      </c>
      <c r="B59" s="71"/>
      <c r="C59" s="72"/>
      <c r="D59" s="71"/>
      <c r="E59" s="176"/>
      <c r="F59" s="73"/>
      <c r="G59" s="74"/>
    </row>
    <row r="60" spans="1:7" x14ac:dyDescent="0.3">
      <c r="A60" s="77" t="s">
        <v>147</v>
      </c>
      <c r="B60" s="78" t="s">
        <v>55</v>
      </c>
      <c r="C60" s="79">
        <v>23</v>
      </c>
      <c r="D60" s="80">
        <v>0.05</v>
      </c>
      <c r="E60" s="177"/>
      <c r="F60" s="81">
        <f t="shared" si="0"/>
        <v>0</v>
      </c>
      <c r="G60" s="82">
        <f t="shared" si="1"/>
        <v>0</v>
      </c>
    </row>
    <row r="61" spans="1:7" ht="15" thickBot="1" x14ac:dyDescent="0.35">
      <c r="A61" s="18" t="s">
        <v>148</v>
      </c>
      <c r="B61" s="83" t="s">
        <v>56</v>
      </c>
      <c r="C61" s="20">
        <v>24</v>
      </c>
      <c r="D61" s="21">
        <v>0.05</v>
      </c>
      <c r="E61" s="169"/>
      <c r="F61" s="40">
        <f t="shared" si="0"/>
        <v>0</v>
      </c>
      <c r="G61" s="41">
        <f t="shared" si="1"/>
        <v>0</v>
      </c>
    </row>
    <row r="62" spans="1:7" ht="21" thickBot="1" x14ac:dyDescent="0.5">
      <c r="A62" s="70" t="s">
        <v>158</v>
      </c>
      <c r="B62" s="71"/>
      <c r="C62" s="72"/>
      <c r="D62" s="71"/>
      <c r="E62" s="176"/>
      <c r="F62" s="73"/>
      <c r="G62" s="74"/>
    </row>
    <row r="63" spans="1:7" x14ac:dyDescent="0.3">
      <c r="A63" s="6" t="s">
        <v>133</v>
      </c>
      <c r="B63" s="75" t="s">
        <v>53</v>
      </c>
      <c r="C63" s="8">
        <v>23</v>
      </c>
      <c r="D63" s="9">
        <v>0.05</v>
      </c>
      <c r="E63" s="167"/>
      <c r="F63" s="36">
        <f t="shared" ref="F63:F64" si="2">D63*E63</f>
        <v>0</v>
      </c>
      <c r="G63" s="37">
        <f t="shared" ref="G63:G64" si="3">E63*C63</f>
        <v>0</v>
      </c>
    </row>
    <row r="64" spans="1:7" x14ac:dyDescent="0.3">
      <c r="A64" s="12" t="s">
        <v>134</v>
      </c>
      <c r="B64" s="76" t="s">
        <v>54</v>
      </c>
      <c r="C64" s="14">
        <v>21.5</v>
      </c>
      <c r="D64" s="15">
        <v>0.05</v>
      </c>
      <c r="E64" s="168"/>
      <c r="F64" s="38">
        <f t="shared" si="2"/>
        <v>0</v>
      </c>
      <c r="G64" s="39">
        <f t="shared" si="3"/>
        <v>0</v>
      </c>
    </row>
    <row r="65" spans="1:7" x14ac:dyDescent="0.3">
      <c r="A65" s="62" t="s">
        <v>137</v>
      </c>
      <c r="B65" s="84" t="s">
        <v>57</v>
      </c>
      <c r="C65" s="64">
        <v>19</v>
      </c>
      <c r="D65" s="65">
        <v>0.05</v>
      </c>
      <c r="E65" s="174"/>
      <c r="F65" s="66">
        <f t="shared" si="0"/>
        <v>0</v>
      </c>
      <c r="G65" s="67">
        <f t="shared" si="1"/>
        <v>0</v>
      </c>
    </row>
    <row r="66" spans="1:7" x14ac:dyDescent="0.3">
      <c r="A66" s="12" t="s">
        <v>138</v>
      </c>
      <c r="B66" s="76" t="s">
        <v>58</v>
      </c>
      <c r="C66" s="14">
        <v>20</v>
      </c>
      <c r="D66" s="15">
        <v>0.05</v>
      </c>
      <c r="E66" s="168"/>
      <c r="F66" s="38">
        <f t="shared" si="0"/>
        <v>0</v>
      </c>
      <c r="G66" s="39">
        <f t="shared" si="1"/>
        <v>0</v>
      </c>
    </row>
    <row r="67" spans="1:7" x14ac:dyDescent="0.3">
      <c r="A67" s="12" t="s">
        <v>146</v>
      </c>
      <c r="B67" s="76" t="s">
        <v>59</v>
      </c>
      <c r="C67" s="14">
        <v>19</v>
      </c>
      <c r="D67" s="15">
        <v>0.05</v>
      </c>
      <c r="E67" s="168"/>
      <c r="F67" s="38">
        <f t="shared" si="0"/>
        <v>0</v>
      </c>
      <c r="G67" s="39">
        <f t="shared" si="1"/>
        <v>0</v>
      </c>
    </row>
    <row r="68" spans="1:7" x14ac:dyDescent="0.3">
      <c r="A68" s="12" t="s">
        <v>145</v>
      </c>
      <c r="B68" s="76" t="s">
        <v>60</v>
      </c>
      <c r="C68" s="14">
        <v>18</v>
      </c>
      <c r="D68" s="15">
        <v>0.05</v>
      </c>
      <c r="E68" s="168"/>
      <c r="F68" s="38">
        <f t="shared" si="0"/>
        <v>0</v>
      </c>
      <c r="G68" s="39">
        <f t="shared" si="1"/>
        <v>0</v>
      </c>
    </row>
    <row r="69" spans="1:7" hidden="1" x14ac:dyDescent="0.3">
      <c r="A69" s="12" t="s">
        <v>61</v>
      </c>
      <c r="B69" s="76" t="s">
        <v>62</v>
      </c>
      <c r="C69" s="14">
        <v>5</v>
      </c>
      <c r="D69" s="15">
        <v>0.01</v>
      </c>
      <c r="E69" s="38"/>
      <c r="F69" s="38">
        <f t="shared" si="0"/>
        <v>0</v>
      </c>
      <c r="G69" s="39">
        <f t="shared" ref="G69:G91" si="4">E69*C69</f>
        <v>0</v>
      </c>
    </row>
    <row r="70" spans="1:7" hidden="1" x14ac:dyDescent="0.3">
      <c r="A70" s="12" t="s">
        <v>61</v>
      </c>
      <c r="B70" s="76" t="s">
        <v>63</v>
      </c>
      <c r="C70" s="14"/>
      <c r="D70" s="15">
        <v>0.05</v>
      </c>
      <c r="E70" s="38"/>
      <c r="F70" s="38">
        <f t="shared" si="0"/>
        <v>0</v>
      </c>
      <c r="G70" s="39">
        <f t="shared" si="4"/>
        <v>0</v>
      </c>
    </row>
    <row r="71" spans="1:7" hidden="1" x14ac:dyDescent="0.3">
      <c r="A71" s="12" t="s">
        <v>61</v>
      </c>
      <c r="B71" s="76" t="s">
        <v>64</v>
      </c>
      <c r="C71" s="14"/>
      <c r="D71" s="15">
        <v>0.02</v>
      </c>
      <c r="E71" s="38"/>
      <c r="F71" s="38">
        <f t="shared" si="0"/>
        <v>0</v>
      </c>
      <c r="G71" s="39">
        <f t="shared" si="4"/>
        <v>0</v>
      </c>
    </row>
    <row r="72" spans="1:7" hidden="1" x14ac:dyDescent="0.3">
      <c r="A72" s="12" t="s">
        <v>61</v>
      </c>
      <c r="B72" s="76" t="s">
        <v>65</v>
      </c>
      <c r="C72" s="14"/>
      <c r="D72" s="15">
        <v>0.05</v>
      </c>
      <c r="E72" s="38"/>
      <c r="F72" s="38">
        <f t="shared" si="0"/>
        <v>0</v>
      </c>
      <c r="G72" s="39">
        <f t="shared" si="4"/>
        <v>0</v>
      </c>
    </row>
    <row r="73" spans="1:7" hidden="1" x14ac:dyDescent="0.3">
      <c r="A73" s="12" t="s">
        <v>61</v>
      </c>
      <c r="B73" s="76" t="s">
        <v>66</v>
      </c>
      <c r="C73" s="14"/>
      <c r="D73" s="15">
        <v>0.02</v>
      </c>
      <c r="E73" s="38"/>
      <c r="F73" s="38">
        <f t="shared" ref="F73:F91" si="5">D73*E73</f>
        <v>0</v>
      </c>
      <c r="G73" s="39">
        <f t="shared" si="4"/>
        <v>0</v>
      </c>
    </row>
    <row r="74" spans="1:7" hidden="1" x14ac:dyDescent="0.3">
      <c r="A74" s="12" t="s">
        <v>61</v>
      </c>
      <c r="B74" s="76" t="s">
        <v>67</v>
      </c>
      <c r="C74" s="14"/>
      <c r="D74" s="15">
        <v>0.02</v>
      </c>
      <c r="E74" s="38"/>
      <c r="F74" s="38">
        <f t="shared" si="5"/>
        <v>0</v>
      </c>
      <c r="G74" s="39">
        <f t="shared" si="4"/>
        <v>0</v>
      </c>
    </row>
    <row r="75" spans="1:7" hidden="1" x14ac:dyDescent="0.3">
      <c r="A75" s="12" t="s">
        <v>61</v>
      </c>
      <c r="B75" s="76" t="s">
        <v>68</v>
      </c>
      <c r="C75" s="14">
        <v>36</v>
      </c>
      <c r="D75" s="15">
        <v>0.05</v>
      </c>
      <c r="E75" s="38"/>
      <c r="F75" s="38">
        <f t="shared" si="5"/>
        <v>0</v>
      </c>
      <c r="G75" s="39">
        <f t="shared" si="4"/>
        <v>0</v>
      </c>
    </row>
    <row r="76" spans="1:7" hidden="1" x14ac:dyDescent="0.3">
      <c r="A76" s="12" t="s">
        <v>61</v>
      </c>
      <c r="B76" s="76" t="s">
        <v>69</v>
      </c>
      <c r="C76" s="14">
        <v>37</v>
      </c>
      <c r="D76" s="15">
        <v>0.05</v>
      </c>
      <c r="E76" s="38"/>
      <c r="F76" s="38">
        <f t="shared" si="5"/>
        <v>0</v>
      </c>
      <c r="G76" s="39">
        <f t="shared" si="4"/>
        <v>0</v>
      </c>
    </row>
    <row r="77" spans="1:7" hidden="1" x14ac:dyDescent="0.3">
      <c r="A77" s="12" t="s">
        <v>61</v>
      </c>
      <c r="B77" s="76" t="s">
        <v>70</v>
      </c>
      <c r="C77" s="14">
        <v>38</v>
      </c>
      <c r="D77" s="15">
        <v>0.05</v>
      </c>
      <c r="E77" s="38"/>
      <c r="F77" s="38">
        <f t="shared" si="5"/>
        <v>0</v>
      </c>
      <c r="G77" s="39">
        <f t="shared" si="4"/>
        <v>0</v>
      </c>
    </row>
    <row r="78" spans="1:7" hidden="1" x14ac:dyDescent="0.3">
      <c r="A78" s="12" t="s">
        <v>61</v>
      </c>
      <c r="B78" s="76" t="s">
        <v>71</v>
      </c>
      <c r="C78" s="14">
        <v>35</v>
      </c>
      <c r="D78" s="15">
        <v>0.05</v>
      </c>
      <c r="E78" s="38"/>
      <c r="F78" s="38">
        <f t="shared" si="5"/>
        <v>0</v>
      </c>
      <c r="G78" s="39">
        <f t="shared" si="4"/>
        <v>0</v>
      </c>
    </row>
    <row r="79" spans="1:7" ht="20.399999999999999" hidden="1" x14ac:dyDescent="0.45">
      <c r="A79" s="85" t="s">
        <v>72</v>
      </c>
      <c r="B79" s="86"/>
      <c r="C79" s="87"/>
      <c r="D79" s="86"/>
      <c r="E79" s="88"/>
      <c r="F79" s="88"/>
      <c r="G79" s="89"/>
    </row>
    <row r="80" spans="1:7" hidden="1" x14ac:dyDescent="0.3">
      <c r="A80" s="90" t="s">
        <v>73</v>
      </c>
      <c r="B80" s="91" t="s">
        <v>74</v>
      </c>
      <c r="C80" s="92">
        <v>37</v>
      </c>
      <c r="D80" s="93">
        <v>2.4E-2</v>
      </c>
      <c r="E80" s="38"/>
      <c r="F80" s="38">
        <f t="shared" si="5"/>
        <v>0</v>
      </c>
      <c r="G80" s="39">
        <f t="shared" si="4"/>
        <v>0</v>
      </c>
    </row>
    <row r="81" spans="1:7" hidden="1" x14ac:dyDescent="0.3">
      <c r="A81" s="90" t="s">
        <v>73</v>
      </c>
      <c r="B81" s="91" t="s">
        <v>75</v>
      </c>
      <c r="C81" s="92">
        <v>4</v>
      </c>
      <c r="D81" s="93">
        <v>4.4999999999999997E-3</v>
      </c>
      <c r="E81" s="38"/>
      <c r="F81" s="38">
        <f t="shared" si="5"/>
        <v>0</v>
      </c>
      <c r="G81" s="39">
        <f t="shared" si="4"/>
        <v>0</v>
      </c>
    </row>
    <row r="82" spans="1:7" hidden="1" x14ac:dyDescent="0.3">
      <c r="A82" s="90" t="s">
        <v>73</v>
      </c>
      <c r="B82" s="91" t="s">
        <v>76</v>
      </c>
      <c r="C82" s="92">
        <v>6.8</v>
      </c>
      <c r="D82" s="93">
        <v>6.0000000000000001E-3</v>
      </c>
      <c r="E82" s="38"/>
      <c r="F82" s="38">
        <f t="shared" si="5"/>
        <v>0</v>
      </c>
      <c r="G82" s="39">
        <f t="shared" si="4"/>
        <v>0</v>
      </c>
    </row>
    <row r="83" spans="1:7" hidden="1" x14ac:dyDescent="0.3">
      <c r="A83" s="90" t="s">
        <v>73</v>
      </c>
      <c r="B83" s="91" t="s">
        <v>77</v>
      </c>
      <c r="C83" s="92">
        <v>4</v>
      </c>
      <c r="D83" s="93">
        <v>1.2E-2</v>
      </c>
      <c r="E83" s="38"/>
      <c r="F83" s="38">
        <f t="shared" si="5"/>
        <v>0</v>
      </c>
      <c r="G83" s="39">
        <f t="shared" si="4"/>
        <v>0</v>
      </c>
    </row>
    <row r="84" spans="1:7" hidden="1" x14ac:dyDescent="0.3">
      <c r="A84" s="90" t="s">
        <v>73</v>
      </c>
      <c r="B84" s="91" t="s">
        <v>78</v>
      </c>
      <c r="C84" s="92">
        <v>11</v>
      </c>
      <c r="D84" s="93">
        <v>0.01</v>
      </c>
      <c r="E84" s="38"/>
      <c r="F84" s="38">
        <f t="shared" si="5"/>
        <v>0</v>
      </c>
      <c r="G84" s="39">
        <f t="shared" si="4"/>
        <v>0</v>
      </c>
    </row>
    <row r="85" spans="1:7" hidden="1" x14ac:dyDescent="0.3">
      <c r="A85" s="94" t="s">
        <v>73</v>
      </c>
      <c r="B85" s="95" t="s">
        <v>79</v>
      </c>
      <c r="C85" s="96">
        <v>31</v>
      </c>
      <c r="D85" s="97">
        <v>0.05</v>
      </c>
      <c r="E85" s="98"/>
      <c r="F85" s="98">
        <f t="shared" si="5"/>
        <v>0</v>
      </c>
      <c r="G85" s="99">
        <f t="shared" si="4"/>
        <v>0</v>
      </c>
    </row>
    <row r="86" spans="1:7" ht="20.399999999999999" hidden="1" x14ac:dyDescent="0.45">
      <c r="A86" s="158" t="s">
        <v>80</v>
      </c>
      <c r="B86" s="159"/>
      <c r="C86" s="100"/>
      <c r="D86" s="101"/>
      <c r="E86" s="102"/>
      <c r="F86" s="102"/>
      <c r="G86" s="103"/>
    </row>
    <row r="87" spans="1:7" hidden="1" x14ac:dyDescent="0.3">
      <c r="A87" s="12" t="s">
        <v>81</v>
      </c>
      <c r="B87" s="76" t="s">
        <v>82</v>
      </c>
      <c r="C87" s="14"/>
      <c r="D87" s="15">
        <v>2.5000000000000001E-2</v>
      </c>
      <c r="E87" s="38"/>
      <c r="F87" s="38">
        <f t="shared" si="5"/>
        <v>0</v>
      </c>
      <c r="G87" s="39">
        <f t="shared" si="4"/>
        <v>0</v>
      </c>
    </row>
    <row r="88" spans="1:7" hidden="1" x14ac:dyDescent="0.3">
      <c r="A88" s="12" t="s">
        <v>81</v>
      </c>
      <c r="B88" s="76" t="s">
        <v>83</v>
      </c>
      <c r="C88" s="14"/>
      <c r="D88" s="15">
        <v>2.5000000000000001E-2</v>
      </c>
      <c r="E88" s="38"/>
      <c r="F88" s="38">
        <f t="shared" si="5"/>
        <v>0</v>
      </c>
      <c r="G88" s="39">
        <f t="shared" si="4"/>
        <v>0</v>
      </c>
    </row>
    <row r="89" spans="1:7" hidden="1" x14ac:dyDescent="0.3">
      <c r="A89" s="12" t="s">
        <v>81</v>
      </c>
      <c r="B89" s="76" t="s">
        <v>84</v>
      </c>
      <c r="C89" s="14"/>
      <c r="D89" s="15">
        <v>0.03</v>
      </c>
      <c r="E89" s="38"/>
      <c r="F89" s="38">
        <f t="shared" si="5"/>
        <v>0</v>
      </c>
      <c r="G89" s="39">
        <f t="shared" si="4"/>
        <v>0</v>
      </c>
    </row>
    <row r="90" spans="1:7" hidden="1" x14ac:dyDescent="0.3">
      <c r="A90" s="12" t="s">
        <v>81</v>
      </c>
      <c r="B90" s="76" t="s">
        <v>85</v>
      </c>
      <c r="C90" s="14"/>
      <c r="D90" s="15">
        <v>2.5000000000000001E-2</v>
      </c>
      <c r="E90" s="38"/>
      <c r="F90" s="38">
        <f t="shared" si="5"/>
        <v>0</v>
      </c>
      <c r="G90" s="39">
        <f t="shared" si="4"/>
        <v>0</v>
      </c>
    </row>
    <row r="91" spans="1:7" hidden="1" x14ac:dyDescent="0.3">
      <c r="A91" s="12" t="s">
        <v>81</v>
      </c>
      <c r="B91" s="76" t="s">
        <v>86</v>
      </c>
      <c r="C91" s="14"/>
      <c r="D91" s="15">
        <v>2.5000000000000001E-2</v>
      </c>
      <c r="E91" s="38"/>
      <c r="F91" s="38">
        <f t="shared" si="5"/>
        <v>0</v>
      </c>
      <c r="G91" s="39">
        <f t="shared" si="4"/>
        <v>0</v>
      </c>
    </row>
    <row r="92" spans="1:7" ht="17.399999999999999" thickBot="1" x14ac:dyDescent="0.45">
      <c r="A92" s="160" t="s">
        <v>87</v>
      </c>
      <c r="B92" s="161"/>
      <c r="C92" s="104"/>
      <c r="D92" s="105"/>
      <c r="E92" s="106">
        <f>SUM(E8:E91)</f>
        <v>0</v>
      </c>
      <c r="F92" s="107">
        <f>SUM(F8:F78)+F85</f>
        <v>0</v>
      </c>
      <c r="G92" s="108">
        <f>SUM(G8:G78)+G85</f>
        <v>0</v>
      </c>
    </row>
    <row r="93" spans="1:7" x14ac:dyDescent="0.3">
      <c r="A93" s="109"/>
      <c r="B93" s="110"/>
      <c r="C93" s="110"/>
      <c r="D93" s="110"/>
      <c r="E93" s="110"/>
      <c r="F93" s="110"/>
      <c r="G93" s="111"/>
    </row>
    <row r="94" spans="1:7" x14ac:dyDescent="0.3">
      <c r="A94" s="112" t="s">
        <v>88</v>
      </c>
      <c r="B94" s="113"/>
      <c r="C94" s="114"/>
      <c r="D94" s="114" t="s">
        <v>89</v>
      </c>
      <c r="E94" s="145">
        <v>45720</v>
      </c>
      <c r="F94" s="146"/>
      <c r="G94" s="147"/>
    </row>
    <row r="95" spans="1:7" x14ac:dyDescent="0.3">
      <c r="A95" s="112"/>
      <c r="B95" s="114"/>
      <c r="C95" s="114"/>
      <c r="D95" s="114"/>
      <c r="E95" s="114"/>
      <c r="F95" s="114"/>
      <c r="G95" s="111"/>
    </row>
    <row r="96" spans="1:7" x14ac:dyDescent="0.3">
      <c r="A96" s="112" t="s">
        <v>90</v>
      </c>
      <c r="B96" s="113"/>
      <c r="C96" s="114"/>
      <c r="D96" s="114" t="s">
        <v>89</v>
      </c>
      <c r="E96" s="145">
        <f>E94</f>
        <v>45720</v>
      </c>
      <c r="F96" s="146"/>
      <c r="G96" s="147"/>
    </row>
    <row r="97" spans="1:7" x14ac:dyDescent="0.3">
      <c r="A97" s="109"/>
      <c r="B97" s="110"/>
      <c r="C97" s="110"/>
      <c r="D97" s="110"/>
      <c r="E97" s="110"/>
      <c r="F97" s="110"/>
      <c r="G97" s="111"/>
    </row>
    <row r="98" spans="1:7" x14ac:dyDescent="0.3">
      <c r="A98" s="148" t="s">
        <v>91</v>
      </c>
      <c r="B98" s="149"/>
      <c r="C98" s="149"/>
      <c r="D98" s="149"/>
      <c r="E98" s="149"/>
      <c r="F98" s="149"/>
      <c r="G98" s="150"/>
    </row>
    <row r="99" spans="1:7" ht="16.8" x14ac:dyDescent="0.4">
      <c r="A99" s="115"/>
      <c r="B99" s="115"/>
      <c r="C99" s="115"/>
      <c r="D99" s="115"/>
      <c r="E99" s="115"/>
      <c r="F99" s="115"/>
      <c r="G99" s="116"/>
    </row>
  </sheetData>
  <mergeCells count="8">
    <mergeCell ref="E94:G94"/>
    <mergeCell ref="E96:G96"/>
    <mergeCell ref="A98:G98"/>
    <mergeCell ref="A1:G1"/>
    <mergeCell ref="A7:B7"/>
    <mergeCell ref="A30:B30"/>
    <mergeCell ref="A86:B86"/>
    <mergeCell ref="A92:B92"/>
  </mergeCells>
  <pageMargins left="0.7" right="0.7" top="0.75" bottom="0.75" header="0.3" footer="0.3"/>
  <pageSetup scale="9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 mazuru</dc:creator>
  <cp:lastModifiedBy>Valentine Mazuru</cp:lastModifiedBy>
  <cp:lastPrinted>2026-03-04T11:15:25Z</cp:lastPrinted>
  <dcterms:created xsi:type="dcterms:W3CDTF">2025-03-04T14:33:00Z</dcterms:created>
  <dcterms:modified xsi:type="dcterms:W3CDTF">2026-07-30T13:16:54Z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98048E3A6A954B0FA35FE7A3256601A5_13</vt:lpwstr>
  </property>
  <property fmtid="{D5CDD505-2E9C-101B-9397-08002B2CF9AE}" pid="3" name="KSOProductBuildVer">
    <vt:lpwstr>1033-12.2.0.23196</vt:lpwstr>
  </property>
</Properties>
</file>